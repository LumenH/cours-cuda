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<sst xmlns="http://schemas.openxmlformats.org/spreadsheetml/2006/main" count="196" uniqueCount="77">
  <si>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</si>
  <si>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</si>
  <si>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</si>
  <si>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</si>
  <si>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</si>
  <si>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</si>
  <si>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</si>
  <si>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</si>
  <si>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</si>
  <si>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</si>
  <si>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</si>
  <si>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</si>
  <si>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</si>
  <si>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</si>
  <si>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</si>
  <si>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</si>
  <si>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</si>
  <si>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</si>
  <si>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</si>
  <si>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</si>
  <si>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</si>
  <si>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</si>
  <si>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</si>
  <si>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</si>
  <si>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</si>
  <si>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</si>
  <si>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</si>
  <si>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</si>
  <si>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</si>
  <si>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</si>
  <si>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</si>
  <si>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</si>
  <si>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</si>
  <si>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</si>
  <si>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</si>
  <si>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</si>
  <si>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</si>
  <si>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</si>
  <si>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</si>
  <si>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</si>
  <si>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</si>
  <si>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</si>
  <si>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</si>
  <si>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</si>
  <si>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</si>
  <si>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</si>
  <si>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</si>
  <si>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</si>
  <si>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Sum</t>
  </si>
  <si>
    <t>Moyenne in [0,3]</t>
  </si>
  <si>
    <t>Note in [1,6]</t>
  </si>
  <si>
    <t>Bonus / Malus</t>
  </si>
  <si>
    <t>Intrevention constructive pendant cours</t>
  </si>
  <si>
    <t>Plagiat</t>
  </si>
  <si>
    <t>in [-5,5]</t>
  </si>
  <si>
    <t>arrondie au dixième</t>
  </si>
  <si>
    <t>Identification (By Student)</t>
  </si>
  <si>
    <t>Nom</t>
  </si>
  <si>
    <t>Debrot – Sommer</t>
  </si>
  <si>
    <t>Prénom</t>
  </si>
  <si>
    <t>Aurélie – Nicolas</t>
  </si>
  <si>
    <t>Acompte Cuda</t>
  </si>
  <si>
    <t>arc2 – arc16</t>
  </si>
  <si>
    <t>Delta Score</t>
  </si>
  <si>
    <t>Remarques</t>
  </si>
  <si>
    <t>Mandelbrot &amp; Julia</t>
  </si>
  <si>
    <t>Newton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</si>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</sst>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5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73080</xdr:colOff>
      <xdr:row>52</xdr:row>
      <xdr:rowOff>77400</xdr:rowOff>
    </xdr:from>
    <xdr:to>
      <xdr:col>19</xdr:col>
      <xdr:colOff>91440</xdr:colOff>
      <xdr:row>105</xdr:row>
      <xdr:rowOff>124200</xdr:rowOff>
    </xdr:to>
    <xdr:sp>
      <xdr:nvSpPr>
        <xdr:cNvPr id="0" name="CustomShape 1"/>
        <xdr:cNvSpPr/>
      </xdr:nvSpPr>
      <xdr:spPr>
        <a:xfrm>
          <a:off x="354960" y="8621280"/>
          <a:ext cx="7655400" cy="86382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7"/>
  <sheetViews>
    <sheetView windowProtection="false" showFormulas="false" showGridLines="true" showRowColHeaders="true" showZeros="true" rightToLeft="false" tabSelected="true" showOutlineSymbols="true" defaultGridColor="true" view="normal" topLeftCell="B16" colorId="64" zoomScale="100" zoomScaleNormal="100" zoomScalePageLayoutView="100" workbookViewId="0">
      <selection pane="topLeft" activeCell="Y43" activeCellId="0" sqref="Y43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2"/>
      <c r="BC3" s="33" t="s">
        <v>32</v>
      </c>
      <c r="BD3" s="33" t="s">
        <v>33</v>
      </c>
      <c r="BE3" s="33" t="s">
        <v>34</v>
      </c>
      <c r="BJ3" s="32" t="n">
        <v>0</v>
      </c>
      <c r="BK3" s="32" t="n">
        <v>1</v>
      </c>
      <c r="BM3" s="33" t="s">
        <v>32</v>
      </c>
      <c r="BN3" s="33" t="s">
        <v>33</v>
      </c>
      <c r="BO3" s="33" t="s">
        <v>34</v>
      </c>
      <c r="BQ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R4" s="37"/>
      <c r="S4" s="27"/>
      <c r="T4" s="27"/>
      <c r="AT4" s="37"/>
      <c r="AU4" s="37"/>
      <c r="AV4" s="37"/>
    </row>
    <row r="5" customFormat="false" ht="12.75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/>
      <c r="H5" s="42" t="s">
        <v>38</v>
      </c>
      <c r="J5" s="43"/>
      <c r="K5" s="43"/>
      <c r="L5" s="43" t="s">
        <v>38</v>
      </c>
      <c r="M5" s="43"/>
      <c r="N5" s="44"/>
      <c r="O5" s="42" t="n">
        <v>2</v>
      </c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BQ5</f>
        <v>4</v>
      </c>
      <c r="V5" s="47"/>
      <c r="W5" s="48"/>
      <c r="X5" s="47"/>
      <c r="Y5" s="47"/>
      <c r="Z5" s="47"/>
      <c r="AA5" s="47"/>
      <c r="AB5" s="46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9"/>
      <c r="AP5" s="47"/>
      <c r="AQ5" s="50"/>
      <c r="AR5" s="0" t="str">
        <f aca="false">IF(AND(M5="x",AQ5=""),"TODO !","")</f>
        <v/>
      </c>
      <c r="AT5" s="2"/>
      <c r="AU5" s="45" t="n">
        <f aca="false">Q5*R5*O5</f>
        <v>2</v>
      </c>
      <c r="AV5" s="2"/>
      <c r="AX5" s="45" t="str">
        <f aca="false">IF(J5="x",AX$3,"")</f>
        <v/>
      </c>
      <c r="AY5" s="45" t="str">
        <f aca="false">IF(K5="x",AY$3,"")</f>
        <v/>
      </c>
      <c r="AZ5" s="45" t="n">
        <f aca="false">IF(L5="x",AZ$3,"")</f>
        <v>2</v>
      </c>
      <c r="BA5" s="45" t="str">
        <f aca="false">IF(M5="x",BA$3,"")</f>
        <v/>
      </c>
      <c r="BB5" s="2"/>
      <c r="BC5" s="45" t="n">
        <f aca="false">COUNTIF(J5:M5,"=x")</f>
        <v>1</v>
      </c>
      <c r="BD5" s="45" t="n">
        <f aca="false">IF(BC5&gt;0,AVERAGE(AX5:BA5),"")</f>
        <v>2</v>
      </c>
      <c r="BE5" s="45" t="n">
        <f aca="false">IF(AND(BC5&gt;0,Q5=1),BD5*O5,"")</f>
        <v>4</v>
      </c>
      <c r="BJ5" s="45" t="str">
        <f aca="false">IF(G5="x",BJ$3,"")</f>
        <v/>
      </c>
      <c r="BK5" s="45" t="n">
        <f aca="false">IF(H5="x",BK$3,"")</f>
        <v>1</v>
      </c>
      <c r="BL5" s="37"/>
      <c r="BM5" s="45" t="n">
        <f aca="false">COUNTIF(G5:H5,"=x")</f>
        <v>1</v>
      </c>
      <c r="BN5" s="45" t="n">
        <f aca="false">IF(BM5&gt;0,AVERAGE(BJ5:BK5),"")</f>
        <v>1</v>
      </c>
      <c r="BO5" s="45" t="n">
        <f aca="false">IF(AND(BM5&gt;0,Q5=1),BN5*O5,"")</f>
        <v>2</v>
      </c>
      <c r="BQ5" s="46" t="n">
        <f aca="false">MAX(BE5,BO5)</f>
        <v>4</v>
      </c>
    </row>
    <row r="6" customFormat="false" ht="12.75" hidden="false" customHeight="false" outlineLevel="0" collapsed="false">
      <c r="B6" s="25"/>
      <c r="C6" s="51" t="s">
        <v>13</v>
      </c>
      <c r="D6" s="41"/>
      <c r="E6" s="52"/>
      <c r="F6" s="41"/>
      <c r="G6" s="42"/>
      <c r="H6" s="42" t="s">
        <v>38</v>
      </c>
      <c r="J6" s="43"/>
      <c r="K6" s="43"/>
      <c r="L6" s="43" t="s">
        <v>38</v>
      </c>
      <c r="M6" s="43"/>
      <c r="N6" s="44"/>
      <c r="O6" s="42" t="n">
        <v>4</v>
      </c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BQ6</f>
        <v>8</v>
      </c>
      <c r="V6" s="47"/>
      <c r="W6" s="47"/>
      <c r="X6" s="47"/>
      <c r="Y6" s="47"/>
      <c r="Z6" s="47"/>
      <c r="AA6" s="47"/>
      <c r="AB6" s="46"/>
      <c r="AD6" s="47"/>
      <c r="AE6" s="47"/>
      <c r="AF6" s="47"/>
      <c r="AG6" s="47"/>
      <c r="AH6" s="47"/>
      <c r="AI6" s="47"/>
      <c r="AJ6" s="47"/>
      <c r="AK6" s="47"/>
      <c r="AL6" s="47"/>
      <c r="AN6" s="48"/>
      <c r="AO6" s="49"/>
      <c r="AP6" s="47"/>
      <c r="AQ6" s="53"/>
      <c r="AR6" s="0" t="inlineStr">
        <f aca="false">IF(AND(M6="x",AQ6=""),"TODO !","")</f>
        <is>
          <t/>
        </is>
      </c>
      <c r="AT6" s="2"/>
      <c r="AU6" s="45" t="n">
        <f aca="false">Q6*R6*O6</f>
        <v>4</v>
      </c>
      <c r="AV6" s="2"/>
      <c r="AX6" s="45" t="inlineStr">
        <f aca="false">IF(J6="x",AX$3,"")</f>
        <is>
          <t/>
        </is>
      </c>
      <c r="AY6" s="45" t="inlineStr">
        <f aca="false">IF(K6="x",AY$3,"")</f>
        <is>
          <t/>
        </is>
      </c>
      <c r="AZ6" s="45" t="n">
        <f aca="false">IF(L6="x",AZ$3,"")</f>
        <v>2</v>
      </c>
      <c r="BA6" s="45" t="inlineStr">
        <f aca="false">IF(M6="x",BA$3,"")</f>
        <is>
          <t/>
        </is>
      </c>
      <c r="BB6" s="2"/>
      <c r="BC6" s="45" t="n">
        <f aca="false">COUNTIF(J6:M6,"=x")</f>
        <v>1</v>
      </c>
      <c r="BD6" s="45" t="n">
        <f aca="false">IF(BC6&gt;0,AVERAGE(AX6:BA6),"")</f>
        <v>2</v>
      </c>
      <c r="BE6" s="45" t="n">
        <f aca="false">IF(AND(BC6&gt;0,Q6=1),BD6*O6,"")</f>
        <v>8</v>
      </c>
      <c r="BJ6" s="45" t="inlineStr">
        <f aca="false">IF(G6="x",BJ$3,"")</f>
        <is>
          <t/>
        </is>
      </c>
      <c r="BK6" s="45" t="n">
        <f aca="false">IF(H6="x",BK$3,"")</f>
        <v>1</v>
      </c>
      <c r="BL6" s="37"/>
      <c r="BM6" s="45" t="n">
        <f aca="false">COUNTIF(G6:H6,"=x")</f>
        <v>1</v>
      </c>
      <c r="BN6" s="45" t="n">
        <f aca="false">IF(BM6&gt;0,AVERAGE(BJ6:BK6),"")</f>
        <v>1</v>
      </c>
      <c r="BO6" s="45" t="n">
        <f aca="false">IF(AND(BM6&gt;0,Q6=1),BN6*O6,"")</f>
        <v>4</v>
      </c>
      <c r="BQ6" s="46" t="n">
        <f aca="false">MAX(BE6,BO6)</f>
        <v>8</v>
      </c>
    </row>
    <row r="7" customFormat="false" ht="12.75" hidden="false" customHeight="false" outlineLevel="0" collapsed="false">
      <c r="B7" s="25"/>
      <c r="C7" s="54" t="s">
        <v>39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BQ7</f>
        <v>0</v>
      </c>
      <c r="V7" s="47"/>
      <c r="W7" s="47"/>
      <c r="X7" s="47"/>
      <c r="Y7" s="47"/>
      <c r="Z7" s="47"/>
      <c r="AA7" s="47"/>
      <c r="AB7" s="46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6"/>
      <c r="AN7" s="47"/>
      <c r="AO7" s="49"/>
      <c r="AP7" s="47"/>
      <c r="AQ7" s="53"/>
      <c r="AR7" s="0" t="inlineStr">
        <f aca="false">IF(AND(M7="x",AQ7=""),"TODO !","")</f>
        <is>
          <t/>
        </is>
      </c>
      <c r="AT7" s="2"/>
      <c r="AU7" s="45" t="n">
        <f aca="false">Q7*R7*O7</f>
        <v>0</v>
      </c>
      <c r="AV7" s="2"/>
      <c r="AX7" s="45" t="n">
        <f aca="false">IF(J7="x",AX$3,"")</f>
        <v>0</v>
      </c>
      <c r="AY7" s="45" t="inlineStr">
        <f aca="false">IF(K7="x",AY$3,"")</f>
        <is>
          <t/>
        </is>
      </c>
      <c r="AZ7" s="45" t="inlineStr">
        <f aca="false">IF(L7="x",AZ$3,"")</f>
        <is>
          <t/>
        </is>
      </c>
      <c r="BA7" s="45" t="inlineStr">
        <f aca="false">IF(M7="x",BA$3,"")</f>
        <is>
          <t/>
        </is>
      </c>
      <c r="BB7" s="2"/>
      <c r="BC7" s="45" t="n">
        <f aca="false">COUNTIF(J7:M7,"=x")</f>
        <v>1</v>
      </c>
      <c r="BD7" s="45" t="n">
        <f aca="false">IF(BC7&gt;0,AVERAGE(AX7:BA7),"")</f>
        <v>0</v>
      </c>
      <c r="BE7" s="45" t="n">
        <f aca="false">IF(AND(BC7&gt;0,Q7=1),BD7*O7,"")</f>
        <v>0</v>
      </c>
      <c r="BJ7" s="45" t="n">
        <f aca="false">IF(G7="x",BJ$3,"")</f>
        <v>0</v>
      </c>
      <c r="BK7" s="45" t="inlineStr">
        <f aca="false">IF(H7="x",BK$3,"")</f>
        <is>
          <t/>
        </is>
      </c>
      <c r="BL7" s="37"/>
      <c r="BM7" s="45" t="n">
        <f aca="false">COUNTIF(G7:H7,"=x")</f>
        <v>1</v>
      </c>
      <c r="BN7" s="45" t="n">
        <f aca="false">IF(BM7&gt;0,AVERAGE(BJ7:BK7),"")</f>
        <v>0</v>
      </c>
      <c r="BO7" s="45" t="n">
        <f aca="false">IF(AND(BM7&gt;0,Q7=1),BN7*O7,"")</f>
        <v>0</v>
      </c>
      <c r="BQ7" s="46" t="n">
        <f aca="false">MAX(BE7,BO7)</f>
        <v>0</v>
      </c>
    </row>
    <row r="8" customFormat="false" ht="12.75" hidden="false" customHeight="false" outlineLevel="0" collapsed="false">
      <c r="G8" s="37"/>
      <c r="H8" s="37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7"/>
      <c r="AU8" s="2"/>
      <c r="AV8" s="37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7" t="inlineStr">
        <f aca="false">IF(G8="x",BJ$3,"")</f>
        <is>
          <t/>
        </is>
      </c>
      <c r="BK8" s="37" t="inlineStr">
        <f aca="false">IF(H8="x",BK$3,"")</f>
        <is>
          <t/>
        </is>
      </c>
      <c r="BL8" s="37"/>
      <c r="BM8" s="37"/>
      <c r="BN8" s="37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7"/>
    </row>
    <row r="9" customFormat="false" ht="12.75" hidden="false" customHeight="false" outlineLevel="0" collapsed="false">
      <c r="G9" s="37"/>
      <c r="H9" s="37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7"/>
      <c r="AU9" s="2"/>
      <c r="AV9" s="37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7" t="inlineStr">
        <f aca="false">IF(G9="x",BJ$3,"")</f>
        <is>
          <t/>
        </is>
      </c>
      <c r="BK9" s="37" t="inlineStr">
        <f aca="false">IF(H9="x",BK$3,"")</f>
        <is>
          <t/>
        </is>
      </c>
      <c r="BL9" s="37"/>
      <c r="BM9" s="37"/>
      <c r="BN9" s="37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7"/>
    </row>
    <row r="10" customFormat="false" ht="12.7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/>
      <c r="K10" s="62"/>
      <c r="L10" s="43" t="s">
        <v>38</v>
      </c>
      <c r="M10" s="43"/>
      <c r="N10" s="44"/>
      <c r="O10" s="42" t="n">
        <v>4</v>
      </c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BQ10</f>
        <v>8</v>
      </c>
      <c r="V10" s="47"/>
      <c r="W10" s="47"/>
      <c r="X10" s="47"/>
      <c r="Y10" s="47"/>
      <c r="Z10" s="47"/>
      <c r="AA10" s="47"/>
      <c r="AB10" s="46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9"/>
      <c r="AP10" s="47"/>
      <c r="AQ10" s="53"/>
      <c r="AR10" s="0" t="str">
        <f aca="false">IF(AND(M10="x",AQ10=""),"TODO !","")</f>
        <v/>
      </c>
      <c r="AT10" s="2"/>
      <c r="AU10" s="45" t="n">
        <f aca="false">Q10*R10*O10</f>
        <v>4</v>
      </c>
      <c r="AV10" s="2"/>
      <c r="AX10" s="45" t="inlineStr">
        <f aca="false">IF(J10="x",AX$3,"")</f>
        <is>
          <t/>
        </is>
      </c>
      <c r="AY10" s="45" t="inlineStr">
        <f aca="false">IF(K10="x",AY$3,"")</f>
        <is>
          <t/>
        </is>
      </c>
      <c r="AZ10" s="45" t="n">
        <f aca="false">IF(L10="x",AZ$3,"")</f>
        <v>2</v>
      </c>
      <c r="BA10" s="45" t="inlineStr">
        <f aca="false">IF(M10="x",BA$3,"")</f>
        <is>
          <t/>
        </is>
      </c>
      <c r="BB10" s="2"/>
      <c r="BC10" s="45" t="n">
        <f aca="false">COUNTIF(J10:M10,"=x")</f>
        <v>1</v>
      </c>
      <c r="BD10" s="45" t="n">
        <f aca="false">IF(BC10&gt;0,AVERAGE(AX10:BA10),"")</f>
        <v>2</v>
      </c>
      <c r="BE10" s="45" t="n">
        <f aca="false">IF(AND(BC10&gt;0,Q10=1),BD10*O10,"")</f>
        <v>8</v>
      </c>
      <c r="BJ10" s="45" t="n">
        <f aca="false">IF(G10="x",BJ$3,"")</f>
        <v>0</v>
      </c>
      <c r="BK10" s="45" t="inlineStr">
        <f aca="false">IF(H10="x",BK$3,"")</f>
        <is>
          <t/>
        </is>
      </c>
      <c r="BL10" s="37"/>
      <c r="BM10" s="45" t="n">
        <f aca="false">COUNTIF(G10:H10,"=x")</f>
        <v>1</v>
      </c>
      <c r="BN10" s="45" t="n">
        <f aca="false">IF(BM10&gt;0,AVERAGE(BJ10:BK10),"")</f>
        <v>0</v>
      </c>
      <c r="BO10" s="45" t="n">
        <f aca="false">IF(AND(BM10&gt;0,Q10=1),BN10*O10,"")</f>
        <v>0</v>
      </c>
      <c r="BQ10" s="46" t="n">
        <f aca="false">MAX(BE10,BO10)</f>
        <v>8</v>
      </c>
    </row>
    <row r="11" customFormat="false" ht="12.75" hidden="false" customHeight="false" outlineLevel="0" collapsed="false">
      <c r="B11" s="61"/>
      <c r="C11" s="51"/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BQ11</f>
        <v>0</v>
      </c>
      <c r="V11" s="47"/>
      <c r="W11" s="47"/>
      <c r="X11" s="47"/>
      <c r="Y11" s="46"/>
      <c r="Z11" s="46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6"/>
      <c r="AM11" s="47"/>
      <c r="AN11" s="47"/>
      <c r="AO11" s="63"/>
      <c r="AP11" s="47"/>
      <c r="AQ11" s="53"/>
      <c r="AR11" s="0" t="inlineStr">
        <f aca="false">IF(AND(M11="x",AQ11=""),"TODO !","")</f>
        <is>
          <t/>
        </is>
      </c>
      <c r="AT11" s="2"/>
      <c r="AU11" s="45" t="n">
        <f aca="false">Q11*R11*O11</f>
        <v>0</v>
      </c>
      <c r="AV11" s="2"/>
      <c r="AX11" s="45" t="n">
        <f aca="false">IF(J11="x",AX$3,"")</f>
        <v>0</v>
      </c>
      <c r="AY11" s="45" t="inlineStr">
        <f aca="false">IF(K11="x",AY$3,"")</f>
        <is>
          <t/>
        </is>
      </c>
      <c r="AZ11" s="45" t="inlineStr">
        <f aca="false">IF(L11="x",AZ$3,"")</f>
        <is>
          <t/>
        </is>
      </c>
      <c r="BA11" s="45" t="inlineStr">
        <f aca="false">IF(M11="x",BA$3,"")</f>
        <is>
          <t/>
        </is>
      </c>
      <c r="BB11" s="2"/>
      <c r="BC11" s="45" t="n">
        <f aca="false">COUNTIF(J11:M11,"=x")</f>
        <v>1</v>
      </c>
      <c r="BD11" s="45" t="n">
        <f aca="false">IF(BC11&gt;0,AVERAGE(AX11:BA11),"")</f>
        <v>0</v>
      </c>
      <c r="BE11" s="45" t="inlineStr">
        <f aca="false">IF(AND(BC11&gt;0,Q11=1),BD11*O11,"")</f>
        <is>
          <t/>
        </is>
      </c>
      <c r="BJ11" s="45" t="n">
        <f aca="false">IF(G11="x",BJ$3,"")</f>
        <v>0</v>
      </c>
      <c r="BK11" s="45" t="inlineStr">
        <f aca="false">IF(H11="x",BK$3,"")</f>
        <is>
          <t/>
        </is>
      </c>
      <c r="BL11" s="37"/>
      <c r="BM11" s="45" t="n">
        <f aca="false">COUNTIF(G11:H11,"=x")</f>
        <v>1</v>
      </c>
      <c r="BN11" s="45" t="n">
        <f aca="false">IF(BM11&gt;0,AVERAGE(BJ11:BK11),"")</f>
        <v>0</v>
      </c>
      <c r="BO11" s="45" t="inlineStr">
        <f aca="false">IF(AND(BM11&gt;0,Q11=1),BN11*O11,"")</f>
        <is>
          <t/>
        </is>
      </c>
      <c r="BQ11" s="46" t="n">
        <f aca="false">MAX(BE11,BO11)</f>
        <v>0</v>
      </c>
    </row>
    <row r="12" customFormat="false" ht="12.75" hidden="false" customHeight="false" outlineLevel="0" collapsed="false">
      <c r="B12" s="61"/>
      <c r="C12" s="54"/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BQ12</f>
        <v>0</v>
      </c>
      <c r="V12" s="47"/>
      <c r="W12" s="46"/>
      <c r="X12" s="46"/>
      <c r="Y12" s="46"/>
      <c r="Z12" s="46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63"/>
      <c r="AP12" s="47"/>
      <c r="AQ12" s="53"/>
      <c r="AR12" s="0" t="inlineStr">
        <f aca="false">IF(AND(M12="x",AQ12=""),"TODO !","")</f>
        <is>
          <t/>
        </is>
      </c>
      <c r="AT12" s="2"/>
      <c r="AU12" s="45" t="n">
        <f aca="false">Q12*R12*O12</f>
        <v>0</v>
      </c>
      <c r="AV12" s="2"/>
      <c r="AX12" s="45" t="n">
        <f aca="false">IF(J12="x",AX$3,"")</f>
        <v>0</v>
      </c>
      <c r="AY12" s="45" t="inlineStr">
        <f aca="false">IF(K12="x",AY$3,"")</f>
        <is>
          <t/>
        </is>
      </c>
      <c r="AZ12" s="45" t="inlineStr">
        <f aca="false">IF(L12="x",AZ$3,"")</f>
        <is>
          <t/>
        </is>
      </c>
      <c r="BA12" s="45" t="inlineStr">
        <f aca="false">IF(M12="x",BA$3,"")</f>
        <is>
          <t/>
        </is>
      </c>
      <c r="BB12" s="2"/>
      <c r="BC12" s="45" t="n">
        <f aca="false">COUNTIF(J12:M12,"=x")</f>
        <v>1</v>
      </c>
      <c r="BD12" s="45" t="n">
        <f aca="false">IF(BC12&gt;0,AVERAGE(AX12:BA12),"")</f>
        <v>0</v>
      </c>
      <c r="BE12" s="45" t="inlineStr">
        <f aca="false">IF(AND(BC12&gt;0,Q12=1),BD12*O12,"")</f>
        <is>
          <t/>
        </is>
      </c>
      <c r="BJ12" s="45" t="n">
        <f aca="false">IF(G12="x",BJ$3,"")</f>
        <v>0</v>
      </c>
      <c r="BK12" s="45" t="inlineStr">
        <f aca="false">IF(H12="x",BK$3,"")</f>
        <is>
          <t/>
        </is>
      </c>
      <c r="BL12" s="37"/>
      <c r="BM12" s="45" t="n">
        <f aca="false">COUNTIF(G12:H12,"=x")</f>
        <v>1</v>
      </c>
      <c r="BN12" s="45" t="n">
        <f aca="false">IF(BM12&gt;0,AVERAGE(BJ12:BK12),"")</f>
        <v>0</v>
      </c>
      <c r="BO12" s="45" t="inlineStr">
        <f aca="false">IF(AND(BM12&gt;0,Q12=1),BN12*O12,"")</f>
        <is>
          <t/>
        </is>
      </c>
      <c r="BQ12" s="46" t="n">
        <f aca="false">MAX(BE12,BO12)</f>
        <v>0</v>
      </c>
    </row>
    <row r="13" customFormat="false" ht="12.75" hidden="false" customHeight="false" outlineLevel="0" collapsed="false">
      <c r="G13" s="37"/>
      <c r="H13" s="37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64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7"/>
      <c r="AU13" s="2"/>
      <c r="AV13" s="37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7" t="inlineStr">
        <f aca="false">IF(G13="x",BJ$3,"")</f>
        <is>
          <t/>
        </is>
      </c>
      <c r="BK13" s="37" t="inlineStr">
        <f aca="false">IF(H13="x",BK$3,"")</f>
        <is>
          <t/>
        </is>
      </c>
      <c r="BL13" s="37"/>
      <c r="BM13" s="37"/>
      <c r="BN13" s="37" t="inlineStr">
        <f aca="false">IF(BM13&gt;0,AVERAGE(BJ13:BK13),"")</f>
        <is>
          <t/>
        </is>
      </c>
      <c r="BO13" s="2"/>
      <c r="BQ13" s="47"/>
    </row>
    <row r="14" customFormat="false" ht="12.75" hidden="false" customHeight="false" outlineLevel="0" collapsed="false">
      <c r="G14" s="37"/>
      <c r="H14" s="37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7"/>
      <c r="AU14" s="2"/>
      <c r="AV14" s="37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7" t="inlineStr">
        <f aca="false">IF(G14="x",BJ$3,"")</f>
        <is>
          <t/>
        </is>
      </c>
      <c r="BK14" s="37" t="inlineStr">
        <f aca="false">IF(H14="x",BK$3,"")</f>
        <is>
          <t/>
        </is>
      </c>
      <c r="BL14" s="37"/>
      <c r="BM14" s="37"/>
      <c r="BN14" s="37" t="inlineStr">
        <f aca="false">IF(BM14&gt;0,AVERAGE(BJ14:BK14),"")</f>
        <is>
          <t/>
        </is>
      </c>
      <c r="BO14" s="2"/>
      <c r="BQ14" s="47"/>
    </row>
    <row r="15" customFormat="false" ht="12.75" hidden="false" customHeight="false" outlineLevel="0" collapsed="false">
      <c r="B15" s="25" t="s">
        <v>42</v>
      </c>
      <c r="C15" s="38"/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BQ15</f>
        <v>0</v>
      </c>
      <c r="V15" s="47"/>
      <c r="W15" s="47"/>
      <c r="X15" s="47"/>
      <c r="Y15" s="47"/>
      <c r="Z15" s="47"/>
      <c r="AA15" s="47"/>
      <c r="AB15" s="47"/>
      <c r="AC15" s="46"/>
      <c r="AD15" s="47"/>
      <c r="AE15" s="47"/>
      <c r="AF15" s="46"/>
      <c r="AG15" s="47"/>
      <c r="AH15" s="47"/>
      <c r="AI15" s="47"/>
      <c r="AJ15" s="47"/>
      <c r="AK15" s="47"/>
      <c r="AL15" s="47"/>
      <c r="AM15" s="47"/>
      <c r="AN15" s="47"/>
      <c r="AO15" s="63"/>
      <c r="AP15" s="47"/>
      <c r="AQ15" s="53"/>
      <c r="AR15" s="0" t="str">
        <f aca="false">IF(AND(M15="x",AQ15=""),"TODO !","")</f>
        <v/>
      </c>
      <c r="AT15" s="2"/>
      <c r="AU15" s="45" t="n">
        <f aca="false">Q15*R15*O15</f>
        <v>0</v>
      </c>
      <c r="AV15" s="2"/>
      <c r="AX15" s="45" t="n">
        <f aca="false">IF(J15="x",AX$3,"")</f>
        <v>0</v>
      </c>
      <c r="AY15" s="45" t="inlineStr">
        <f aca="false">IF(K15="x",AY$3,"")</f>
        <is>
          <t/>
        </is>
      </c>
      <c r="AZ15" s="45" t="inlineStr">
        <f aca="false">IF(L15="x",AZ$3,"")</f>
        <is>
          <t/>
        </is>
      </c>
      <c r="BA15" s="45" t="inlineStr">
        <f aca="false">IF(M15="x",BA$3,"")</f>
        <is>
          <t/>
        </is>
      </c>
      <c r="BB15" s="2"/>
      <c r="BC15" s="45" t="n">
        <f aca="false">COUNTIF(J15:M15,"=x")</f>
        <v>1</v>
      </c>
      <c r="BD15" s="45" t="n">
        <f aca="false">IF(BC15&gt;0,AVERAGE(AX15:BA15),"")</f>
        <v>0</v>
      </c>
      <c r="BE15" s="45" t="inlineStr">
        <f aca="false">IF(AND(BC15&gt;0,Q15=1),BD15*O15,"")</f>
        <is>
          <t/>
        </is>
      </c>
      <c r="BJ15" s="45" t="n">
        <f aca="false">IF(G15="x",BJ$3,"")</f>
        <v>0</v>
      </c>
      <c r="BK15" s="45" t="inlineStr">
        <f aca="false">IF(H15="x",BK$3,"")</f>
        <is>
          <t/>
        </is>
      </c>
      <c r="BL15" s="37"/>
      <c r="BM15" s="45" t="n">
        <f aca="false">COUNTIF(G15:H15,"=x")</f>
        <v>1</v>
      </c>
      <c r="BN15" s="45" t="n">
        <f aca="false">IF(BM15&gt;0,AVERAGE(BJ15:BK15),"")</f>
        <v>0</v>
      </c>
      <c r="BO15" s="45" t="str">
        <f aca="false">IF(AND(BM15&gt;0,Q15=1),BN15*O15,"")</f>
        <v/>
      </c>
      <c r="BQ15" s="46" t="n">
        <f aca="false">MAX(BE15,BO15)</f>
        <v>0</v>
      </c>
    </row>
    <row r="16" customFormat="false" ht="12.75" hidden="false" customHeight="false" outlineLevel="0" collapsed="false">
      <c r="B16" s="25"/>
      <c r="C16" s="51"/>
      <c r="D16" s="41"/>
      <c r="E16" s="52"/>
      <c r="F16" s="41"/>
      <c r="G16" s="42" t="s">
        <v>38</v>
      </c>
      <c r="H16" s="42"/>
      <c r="J16" s="43" t="s">
        <v>38</v>
      </c>
      <c r="K16" s="43"/>
      <c r="L16" s="62"/>
      <c r="M16" s="43"/>
      <c r="N16" s="44"/>
      <c r="O16" s="42" t="n">
        <v>4</v>
      </c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BQ16</f>
        <v>0</v>
      </c>
      <c r="V16" s="47"/>
      <c r="W16" s="47"/>
      <c r="X16" s="47"/>
      <c r="Y16" s="47"/>
      <c r="Z16" s="47"/>
      <c r="AA16" s="47"/>
      <c r="AB16" s="47"/>
      <c r="AC16" s="46"/>
      <c r="AD16" s="47"/>
      <c r="AE16" s="47"/>
      <c r="AF16" s="46"/>
      <c r="AG16" s="47"/>
      <c r="AH16" s="47"/>
      <c r="AI16" s="47"/>
      <c r="AJ16" s="47"/>
      <c r="AK16" s="47"/>
      <c r="AL16" s="47"/>
      <c r="AM16" s="47"/>
      <c r="AN16" s="47"/>
      <c r="AO16" s="63"/>
      <c r="AP16" s="47"/>
      <c r="AQ16" s="53"/>
      <c r="AR16" s="0" t="inlineStr">
        <f aca="false">IF(AND(M16="x",AQ16=""),"TODO !","")</f>
        <is>
          <t/>
        </is>
      </c>
      <c r="AT16" s="2"/>
      <c r="AU16" s="45" t="n">
        <f aca="false">Q16*R16*O16</f>
        <v>0</v>
      </c>
      <c r="AV16" s="2"/>
      <c r="AX16" s="45" t="n">
        <f aca="false">IF(J16="x",AX$3,"")</f>
        <v>0</v>
      </c>
      <c r="AY16" s="45" t="inlineStr">
        <f aca="false">IF(K16="x",AY$3,"")</f>
        <is>
          <t/>
        </is>
      </c>
      <c r="AZ16" s="45" t="inlineStr">
        <f aca="false">IF(L16="x",AZ$3,"")</f>
        <is>
          <t/>
        </is>
      </c>
      <c r="BA16" s="45" t="inlineStr">
        <f aca="false">IF(M16="x",BA$3,"")</f>
        <is>
          <t/>
        </is>
      </c>
      <c r="BB16" s="2"/>
      <c r="BC16" s="45" t="n">
        <f aca="false">COUNTIF(J16:M16,"=x")</f>
        <v>1</v>
      </c>
      <c r="BD16" s="45" t="n">
        <f aca="false">IF(BC16&gt;0,AVERAGE(AX16:BA16),"")</f>
        <v>0</v>
      </c>
      <c r="BE16" s="45" t="inlineStr">
        <f aca="false">IF(AND(BC16&gt;0,Q16=1),BD16*O16,"")</f>
        <is>
          <t/>
        </is>
      </c>
      <c r="BJ16" s="45" t="n">
        <f aca="false">IF(G16="x",BJ$3,"")</f>
        <v>0</v>
      </c>
      <c r="BK16" s="45" t="inlineStr">
        <f aca="false">IF(H16="x",BK$3,"")</f>
        <is>
          <t/>
        </is>
      </c>
      <c r="BL16" s="37"/>
      <c r="BM16" s="45" t="n">
        <f aca="false">COUNTIF(G16:H16,"=x")</f>
        <v>1</v>
      </c>
      <c r="BN16" s="45" t="n">
        <f aca="false">IF(BM16&gt;0,AVERAGE(BJ16:BK16),"")</f>
        <v>0</v>
      </c>
      <c r="BO16" s="45" t="inlineStr">
        <f aca="false">IF(AND(BM16&gt;0,Q16=1),BN16*O16,"")</f>
        <is>
          <t/>
        </is>
      </c>
      <c r="BQ16" s="46" t="n">
        <f aca="false">MAX(BE16,BO16)</f>
        <v>0</v>
      </c>
    </row>
    <row r="17" customFormat="false" ht="12.75" hidden="false" customHeight="false" outlineLevel="0" collapsed="false">
      <c r="B17" s="25"/>
      <c r="C17" s="51"/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BQ17</f>
        <v>0</v>
      </c>
      <c r="V17" s="47"/>
      <c r="W17" s="47"/>
      <c r="X17" s="47"/>
      <c r="Y17" s="47"/>
      <c r="Z17" s="47"/>
      <c r="AA17" s="47"/>
      <c r="AB17" s="47"/>
      <c r="AC17" s="46"/>
      <c r="AD17" s="47"/>
      <c r="AE17" s="47"/>
      <c r="AF17" s="46"/>
      <c r="AG17" s="47"/>
      <c r="AH17" s="47"/>
      <c r="AI17" s="47"/>
      <c r="AJ17" s="47"/>
      <c r="AK17" s="47"/>
      <c r="AL17" s="47"/>
      <c r="AM17" s="47"/>
      <c r="AN17" s="47"/>
      <c r="AO17" s="63"/>
      <c r="AP17" s="47"/>
      <c r="AQ17" s="53"/>
      <c r="AR17" s="0" t="inlineStr">
        <f aca="false">IF(AND(M17="x",AQ17=""),"TODO !","")</f>
        <is>
          <t/>
        </is>
      </c>
      <c r="AT17" s="2"/>
      <c r="AU17" s="45" t="n">
        <f aca="false">Q17*R17*O17</f>
        <v>0</v>
      </c>
      <c r="AV17" s="2"/>
      <c r="AX17" s="45" t="n">
        <f aca="false">IF(J17="x",AX$3,"")</f>
        <v>0</v>
      </c>
      <c r="AY17" s="45" t="inlineStr">
        <f aca="false">IF(K17="x",AY$3,"")</f>
        <is>
          <t/>
        </is>
      </c>
      <c r="AZ17" s="45" t="inlineStr">
        <f aca="false">IF(L17="x",AZ$3,"")</f>
        <is>
          <t/>
        </is>
      </c>
      <c r="BA17" s="45" t="inlineStr">
        <f aca="false">IF(M17="x",BA$3,"")</f>
        <is>
          <t/>
        </is>
      </c>
      <c r="BB17" s="2"/>
      <c r="BC17" s="45" t="n">
        <f aca="false">COUNTIF(J17:M17,"=x")</f>
        <v>1</v>
      </c>
      <c r="BD17" s="45" t="n">
        <f aca="false">IF(BC17&gt;0,AVERAGE(AX17:BA17),"")</f>
        <v>0</v>
      </c>
      <c r="BE17" s="45" t="inlineStr">
        <f aca="false">IF(AND(BC17&gt;0,Q17=1),BD17*O17,"")</f>
        <is>
          <t/>
        </is>
      </c>
      <c r="BJ17" s="45" t="n">
        <f aca="false">IF(G17="x",BJ$3,"")</f>
        <v>0</v>
      </c>
      <c r="BK17" s="45" t="inlineStr">
        <f aca="false">IF(H17="x",BK$3,"")</f>
        <is>
          <t/>
        </is>
      </c>
      <c r="BL17" s="37"/>
      <c r="BM17" s="45" t="n">
        <f aca="false">COUNTIF(G17:H17,"=x")</f>
        <v>1</v>
      </c>
      <c r="BN17" s="45" t="n">
        <f aca="false">IF(BM17&gt;0,AVERAGE(BJ17:BK17),"")</f>
        <v>0</v>
      </c>
      <c r="BO17" s="45" t="inlineStr">
        <f aca="false">IF(AND(BM17&gt;0,Q17=1),BN17*O17,"")</f>
        <is>
          <t/>
        </is>
      </c>
      <c r="BQ17" s="46" t="n">
        <f aca="false">MAX(BE17,BO17)</f>
        <v>0</v>
      </c>
    </row>
    <row r="18" customFormat="false" ht="12.75" hidden="false" customHeight="false" outlineLevel="0" collapsed="false">
      <c r="B18" s="25"/>
      <c r="C18" s="54"/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BQ18</f>
        <v>0</v>
      </c>
      <c r="V18" s="47"/>
      <c r="W18" s="47"/>
      <c r="X18" s="47"/>
      <c r="Y18" s="47"/>
      <c r="Z18" s="47"/>
      <c r="AA18" s="46"/>
      <c r="AB18" s="47"/>
      <c r="AC18" s="46"/>
      <c r="AD18" s="46"/>
      <c r="AE18" s="47"/>
      <c r="AF18" s="46"/>
      <c r="AG18" s="47"/>
      <c r="AH18" s="47"/>
      <c r="AI18" s="47"/>
      <c r="AJ18" s="47"/>
      <c r="AK18" s="47"/>
      <c r="AL18" s="47"/>
      <c r="AM18" s="47"/>
      <c r="AN18" s="47"/>
      <c r="AO18" s="63"/>
      <c r="AP18" s="47"/>
      <c r="AQ18" s="53"/>
      <c r="AR18" s="0" t="inlineStr">
        <f aca="false">IF(AND(M18="x",AQ18=""),"TODO !","")</f>
        <is>
          <t/>
        </is>
      </c>
      <c r="AT18" s="2"/>
      <c r="AU18" s="45" t="n">
        <f aca="false">Q18*R18*O18</f>
        <v>0</v>
      </c>
      <c r="AV18" s="2"/>
      <c r="AX18" s="45" t="n">
        <f aca="false">IF(J18="x",AX$3,"")</f>
        <v>0</v>
      </c>
      <c r="AY18" s="45" t="inlineStr">
        <f aca="false">IF(K18="x",AY$3,"")</f>
        <is>
          <t/>
        </is>
      </c>
      <c r="AZ18" s="45" t="inlineStr">
        <f aca="false">IF(L18="x",AZ$3,"")</f>
        <is>
          <t/>
        </is>
      </c>
      <c r="BA18" s="45" t="inlineStr">
        <f aca="false">IF(M18="x",BA$3,"")</f>
        <is>
          <t/>
        </is>
      </c>
      <c r="BB18" s="2"/>
      <c r="BC18" s="45" t="n">
        <f aca="false">COUNTIF(J18:M18,"=x")</f>
        <v>1</v>
      </c>
      <c r="BD18" s="45" t="n">
        <f aca="false">IF(BC18&gt;0,AVERAGE(AX18:BA18),"")</f>
        <v>0</v>
      </c>
      <c r="BE18" s="45" t="inlineStr">
        <f aca="false">IF(AND(BC18&gt;0,Q18=1),BD18*O18,"")</f>
        <is>
          <t/>
        </is>
      </c>
      <c r="BJ18" s="45" t="n">
        <f aca="false">IF(G18="x",BJ$3,"")</f>
        <v>0</v>
      </c>
      <c r="BK18" s="45" t="inlineStr">
        <f aca="false">IF(H18="x",BK$3,"")</f>
        <is>
          <t/>
        </is>
      </c>
      <c r="BL18" s="37"/>
      <c r="BM18" s="45" t="n">
        <f aca="false">COUNTIF(G18:H18,"=x")</f>
        <v>1</v>
      </c>
      <c r="BN18" s="45" t="n">
        <f aca="false">IF(BM18&gt;0,AVERAGE(BJ18:BK18),"")</f>
        <v>0</v>
      </c>
      <c r="BO18" s="45" t="inlineStr">
        <f aca="false">IF(AND(BM18&gt;0,Q18=1),BN18*O18,"")</f>
        <is>
          <t/>
        </is>
      </c>
      <c r="BQ18" s="46" t="n">
        <f aca="false">MAX(BE18,BO18)</f>
        <v>0</v>
      </c>
    </row>
    <row r="19" customFormat="false" ht="12.75" hidden="false" customHeight="false" outlineLevel="0" collapsed="false">
      <c r="G19" s="37"/>
      <c r="H19" s="37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7"/>
      <c r="AU19" s="2"/>
      <c r="AV19" s="37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7" t="inlineStr">
        <f aca="false">IF(G19="x",BJ$3,"")</f>
        <is>
          <t/>
        </is>
      </c>
      <c r="BK19" s="37" t="inlineStr">
        <f aca="false">IF(H19="x",BK$3,"")</f>
        <is>
          <t/>
        </is>
      </c>
      <c r="BL19" s="37"/>
      <c r="BM19" s="37"/>
      <c r="BN19" s="37" t="inlineStr">
        <f aca="false">IF(BM19&gt;0,AVERAGE(BJ19:BK19),"")</f>
        <is>
          <t/>
        </is>
      </c>
      <c r="BO19" s="37" t="str">
        <f aca="false">IF(BM19&gt;0,BN19*O19,"")</f>
        <v/>
      </c>
      <c r="BQ19" s="47" t="str">
        <f aca="false">IF(BD19&gt;0,BE19,BN19)</f>
        <v/>
      </c>
    </row>
    <row r="20" customFormat="false" ht="12.75" hidden="false" customHeight="false" outlineLevel="0" collapsed="false">
      <c r="G20" s="37"/>
      <c r="H20" s="37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7"/>
      <c r="AU20" s="2"/>
      <c r="AV20" s="37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7" t="inlineStr">
        <f aca="false">IF(G20="x",BJ$3,"")</f>
        <is>
          <t/>
        </is>
      </c>
      <c r="BK20" s="37" t="inlineStr">
        <f aca="false">IF(H20="x",BK$3,"")</f>
        <is>
          <t/>
        </is>
      </c>
      <c r="BL20" s="37"/>
      <c r="BM20" s="37"/>
      <c r="BN20" s="37" t="inlineStr">
        <f aca="false">IF(BM20&gt;0,AVERAGE(BJ20:BK20),"")</f>
        <is>
          <t/>
        </is>
      </c>
      <c r="BO20" s="37" t="inlineStr">
        <f aca="false">IF(BM20&gt;0,BN20*O20,"")</f>
        <is>
          <t/>
        </is>
      </c>
      <c r="BQ20" s="47" t="inlineStr">
        <f aca="false">IF(BD20&gt;0,BE20,BN20)</f>
        <is>
          <t/>
        </is>
      </c>
    </row>
    <row r="21" customFormat="false" ht="12.75" hidden="false" customHeight="false" outlineLevel="0" collapsed="false">
      <c r="B21" s="25" t="s">
        <v>43</v>
      </c>
      <c r="C21" s="38"/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BQ21</f>
        <is>
          <t/>
        </is>
      </c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6"/>
      <c r="AJ21" s="46"/>
      <c r="AK21" s="46"/>
      <c r="AL21" s="47"/>
      <c r="AM21" s="47"/>
      <c r="AN21" s="47"/>
      <c r="AO21" s="49"/>
      <c r="AP21" s="47"/>
      <c r="AQ21" s="53"/>
      <c r="AR21" s="0" t="str">
        <f aca="false">IF(AND(M21="x",AQ21=""),"TODO !","")</f>
        <v/>
      </c>
      <c r="AT21" s="2"/>
      <c r="AU21" s="45" t="n">
        <f aca="false">Q21*R21*O21</f>
        <v>0</v>
      </c>
      <c r="AV21" s="2"/>
      <c r="AX21" s="45" t="n">
        <f aca="false">IF(J21="x",AX$3,"")</f>
        <v>0</v>
      </c>
      <c r="AY21" s="45" t="inlineStr">
        <f aca="false">IF(K21="x",AY$3,"")</f>
        <is>
          <t/>
        </is>
      </c>
      <c r="AZ21" s="45" t="inlineStr">
        <f aca="false">IF(L21="x",AZ$3,"")</f>
        <is>
          <t/>
        </is>
      </c>
      <c r="BA21" s="45" t="inlineStr">
        <f aca="false">IF(M21="x",BA$3,"")</f>
        <is>
          <t/>
        </is>
      </c>
      <c r="BB21" s="2"/>
      <c r="BC21" s="45" t="n">
        <f aca="false">COUNTIF(J21:M21,"=x")</f>
        <v>1</v>
      </c>
      <c r="BD21" s="45" t="n">
        <f aca="false">IF(BC21&gt;0,AVERAGE(AX21:BA21),"")</f>
        <v>0</v>
      </c>
      <c r="BE21" s="45" t="inlineStr">
        <f aca="false">IF(AND(BC21&gt;0,Q21=1),BD21*O21,"")</f>
        <is>
          <t/>
        </is>
      </c>
      <c r="BJ21" s="2"/>
      <c r="BK21" s="2"/>
      <c r="BL21" s="2"/>
      <c r="BM21" s="2"/>
      <c r="BN21" s="2"/>
      <c r="BO21" s="2"/>
      <c r="BP21" s="60"/>
      <c r="BQ21" s="46" t="str">
        <f aca="false">BE21</f>
        <v/>
      </c>
    </row>
    <row r="22" customFormat="false" ht="12.75" hidden="false" customHeight="false" outlineLevel="0" collapsed="false">
      <c r="B22" s="25"/>
      <c r="C22" s="51"/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BQ22</f>
        <is>
          <t/>
        </is>
      </c>
      <c r="V22" s="47"/>
      <c r="W22" s="47"/>
      <c r="X22" s="47"/>
      <c r="Y22" s="47"/>
      <c r="Z22" s="47"/>
      <c r="AA22" s="47"/>
      <c r="AB22" s="46"/>
      <c r="AC22" s="46"/>
      <c r="AD22" s="47"/>
      <c r="AE22" s="47"/>
      <c r="AG22" s="47"/>
      <c r="AH22" s="47"/>
      <c r="AI22" s="47"/>
      <c r="AJ22" s="47"/>
      <c r="AK22" s="47"/>
      <c r="AL22" s="47"/>
      <c r="AM22" s="47"/>
      <c r="AN22" s="47"/>
      <c r="AO22" s="49"/>
      <c r="AP22" s="47"/>
      <c r="AQ22" s="53"/>
      <c r="AR22" s="0" t="inlineStr">
        <f aca="false">IF(AND(M22="x",AQ22=""),"TODO !","")</f>
        <is>
          <t/>
        </is>
      </c>
      <c r="AT22" s="2"/>
      <c r="AU22" s="45" t="n">
        <f aca="false">Q22*R22*O22</f>
        <v>0</v>
      </c>
      <c r="AV22" s="2"/>
      <c r="AX22" s="45" t="n">
        <f aca="false">IF(J22="x",AX$3,"")</f>
        <v>0</v>
      </c>
      <c r="AY22" s="45" t="inlineStr">
        <f aca="false">IF(K22="x",AY$3,"")</f>
        <is>
          <t/>
        </is>
      </c>
      <c r="AZ22" s="45" t="inlineStr">
        <f aca="false">IF(L22="x",AZ$3,"")</f>
        <is>
          <t/>
        </is>
      </c>
      <c r="BA22" s="45" t="inlineStr">
        <f aca="false">IF(M22="x",BA$3,"")</f>
        <is>
          <t/>
        </is>
      </c>
      <c r="BB22" s="2"/>
      <c r="BC22" s="45" t="n">
        <f aca="false">COUNTIF(J22:M22,"=x")</f>
        <v>1</v>
      </c>
      <c r="BD22" s="45" t="n">
        <f aca="false">IF(BC22&gt;0,AVERAGE(AX22:BA22),"")</f>
        <v>0</v>
      </c>
      <c r="BE22" s="45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6" t="inlineStr">
        <f aca="false">BE22</f>
        <is>
          <t/>
        </is>
      </c>
    </row>
    <row r="23" customFormat="false" ht="12.75" hidden="false" customHeight="false" outlineLevel="0" collapsed="false">
      <c r="B23" s="25"/>
      <c r="C23" s="54"/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BQ23</f>
        <is>
          <t/>
        </is>
      </c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9"/>
      <c r="AP23" s="47"/>
      <c r="AQ23" s="53"/>
      <c r="AR23" s="0" t="inlineStr">
        <f aca="false">IF(AND(M23="x",AQ23=""),"TODO !","")</f>
        <is>
          <t/>
        </is>
      </c>
      <c r="AT23" s="2"/>
      <c r="AU23" s="45" t="n">
        <f aca="false">Q23*R23*O23</f>
        <v>0</v>
      </c>
      <c r="AV23" s="2"/>
      <c r="AX23" s="45" t="n">
        <f aca="false">IF(J23="x",AX$3,"")</f>
        <v>0</v>
      </c>
      <c r="AY23" s="45" t="inlineStr">
        <f aca="false">IF(K23="x",AY$3,"")</f>
        <is>
          <t/>
        </is>
      </c>
      <c r="AZ23" s="45" t="inlineStr">
        <f aca="false">IF(L23="x",AZ$3,"")</f>
        <is>
          <t/>
        </is>
      </c>
      <c r="BA23" s="45" t="inlineStr">
        <f aca="false">IF(M23="x",BA$3,"")</f>
        <is>
          <t/>
        </is>
      </c>
      <c r="BB23" s="2"/>
      <c r="BC23" s="45" t="n">
        <f aca="false">COUNTIF(J23:M23,"=x")</f>
        <v>1</v>
      </c>
      <c r="BD23" s="45" t="n">
        <f aca="false">IF(BC23&gt;0,AVERAGE(AX23:BA23),"")</f>
        <v>0</v>
      </c>
      <c r="BE23" s="45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6" t="inlineStr">
        <f aca="false">BE23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67"/>
      <c r="K24" s="67"/>
      <c r="L24" s="67"/>
      <c r="M24" s="67"/>
      <c r="N24" s="44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9"/>
      <c r="AP24" s="47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73"/>
      <c r="K25" s="73"/>
      <c r="L25" s="73"/>
      <c r="M25" s="73"/>
      <c r="N25" s="44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9"/>
      <c r="AP25" s="47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75" hidden="false" customHeight="false" outlineLevel="0" collapsed="false">
      <c r="B26" s="25" t="s">
        <v>44</v>
      </c>
      <c r="C26" s="38"/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BQ26</f>
        <v/>
      </c>
      <c r="V26" s="47"/>
      <c r="W26" s="47"/>
      <c r="X26" s="47"/>
      <c r="Y26" s="46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9"/>
      <c r="AP26" s="47"/>
      <c r="AQ26" s="53"/>
      <c r="AR26" s="0" t="str">
        <f aca="false">IF(AND(M26="x",AQ26=""),"TODO !","")</f>
        <v/>
      </c>
      <c r="AT26" s="2"/>
      <c r="AU26" s="45" t="n">
        <f aca="false">Q26*R26*O26</f>
        <v>0</v>
      </c>
      <c r="AV26" s="2"/>
      <c r="AX26" s="45" t="n">
        <f aca="false">IF(J26="x",AX$3,"")</f>
        <v>0</v>
      </c>
      <c r="AY26" s="45" t="str">
        <f aca="false">IF(K26="x",AY$3,"")</f>
        <v/>
      </c>
      <c r="AZ26" s="45" t="str">
        <f aca="false">IF(L26="x",AZ$3,"")</f>
        <v/>
      </c>
      <c r="BA26" s="45" t="str">
        <f aca="false">IF(M26="x",BA$3,"")</f>
        <v/>
      </c>
      <c r="BB26" s="2"/>
      <c r="BC26" s="45" t="n">
        <f aca="false">COUNTIF(J26:M26,"=x")</f>
        <v>1</v>
      </c>
      <c r="BD26" s="45" t="n">
        <f aca="false">IF(BC26&gt;0,AVERAGE(AX26:BA26),"")</f>
        <v>0</v>
      </c>
      <c r="BE26" s="45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6" t="str">
        <f aca="false">BE26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/>
      <c r="K27" s="43"/>
      <c r="L27" s="62"/>
      <c r="M27" s="43"/>
      <c r="N27" s="44"/>
      <c r="O27" s="42" t="n">
        <v>0</v>
      </c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BQ27</f>
        <is>
          <t/>
        </is>
      </c>
      <c r="V27" s="47"/>
      <c r="W27" s="47"/>
      <c r="X27" s="47"/>
      <c r="Y27" s="46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9"/>
      <c r="AP27" s="47"/>
      <c r="AQ27" s="53"/>
      <c r="AR27" s="0" t="inlineStr">
        <f aca="false">IF(AND(M27="x",AQ27=""),"TODO !","")</f>
        <is>
          <t/>
        </is>
      </c>
      <c r="AT27" s="2"/>
      <c r="AU27" s="45" t="n">
        <f aca="false">Q27*R27*O27</f>
        <v>0</v>
      </c>
      <c r="AV27" s="2"/>
      <c r="AX27" s="45" t="inlineStr">
        <f aca="false">IF(J27="x",AX$3,"")</f>
        <is>
          <t/>
        </is>
      </c>
      <c r="AY27" s="45" t="inlineStr">
        <f aca="false">IF(K27="x",AY$3,"")</f>
        <is>
          <t/>
        </is>
      </c>
      <c r="AZ27" s="45" t="inlineStr">
        <f aca="false">IF(L27="x",AZ$3,"")</f>
        <is>
          <t/>
        </is>
      </c>
      <c r="BA27" s="45" t="inlineStr">
        <f aca="false">IF(M27="x",BA$3,"")</f>
        <is>
          <t/>
        </is>
      </c>
      <c r="BB27" s="2"/>
      <c r="BC27" s="45" t="n">
        <f aca="false">COUNTIF(J27:M27,"=x")</f>
        <v>0</v>
      </c>
      <c r="BD27" s="45" t="inlineStr">
        <f aca="false">IF(BC27&gt;0,AVERAGE(AX27:BA27),"")</f>
        <is>
          <t/>
        </is>
      </c>
      <c r="BE27" s="45" t="inlineStr">
        <f aca="false">IF(AND(BC27&gt;0,Q27=1),BD27*O27,"")</f>
        <is>
          <t/>
        </is>
      </c>
      <c r="BJ27" s="2"/>
      <c r="BK27" s="2"/>
      <c r="BL27" s="2"/>
      <c r="BM27" s="2"/>
      <c r="BN27" s="2"/>
      <c r="BO27" s="2"/>
      <c r="BP27" s="60"/>
      <c r="BQ27" s="46" t="inlineStr">
        <f aca="false">BE27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/>
      <c r="K28" s="43"/>
      <c r="L28" s="43"/>
      <c r="M28" s="43"/>
      <c r="N28" s="44"/>
      <c r="O28" s="42" t="n">
        <v>0</v>
      </c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BQ28</f>
        <is>
          <t/>
        </is>
      </c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9"/>
      <c r="AP28" s="47"/>
      <c r="AQ28" s="53"/>
      <c r="AR28" s="0" t="inlineStr">
        <f aca="false">IF(AND(M28="x",AQ28=""),"TODO !","")</f>
        <is>
          <t/>
        </is>
      </c>
      <c r="AT28" s="2"/>
      <c r="AU28" s="45" t="n">
        <f aca="false">Q28*R28*O28</f>
        <v>0</v>
      </c>
      <c r="AV28" s="2"/>
      <c r="AX28" s="45" t="inlineStr">
        <f aca="false">IF(J28="x",AX$3,"")</f>
        <is>
          <t/>
        </is>
      </c>
      <c r="AY28" s="45" t="inlineStr">
        <f aca="false">IF(K28="x",AY$3,"")</f>
        <is>
          <t/>
        </is>
      </c>
      <c r="AZ28" s="45" t="inlineStr">
        <f aca="false">IF(L28="x",AZ$3,"")</f>
        <is>
          <t/>
        </is>
      </c>
      <c r="BA28" s="45" t="inlineStr">
        <f aca="false">IF(M28="x",BA$3,"")</f>
        <is>
          <t/>
        </is>
      </c>
      <c r="BB28" s="2"/>
      <c r="BC28" s="45" t="n">
        <f aca="false">COUNTIF(J28:M28,"=x")</f>
        <v>0</v>
      </c>
      <c r="BD28" s="45" t="inlineStr">
        <f aca="false">IF(BC28&gt;0,AVERAGE(AX28:BA28),"")</f>
        <is>
          <t/>
        </is>
      </c>
      <c r="BE28" s="45" t="inlineStr">
        <f aca="false">IF(AND(BC28&gt;0,Q28=1),BD28*O28,"")</f>
        <is>
          <t/>
        </is>
      </c>
      <c r="BJ28" s="2"/>
      <c r="BK28" s="2"/>
      <c r="BL28" s="2"/>
      <c r="BM28" s="2"/>
      <c r="BN28" s="2"/>
      <c r="BO28" s="2"/>
      <c r="BP28" s="60"/>
      <c r="BQ28" s="46" t="inlineStr">
        <f aca="false">BE28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/>
      <c r="K29" s="43"/>
      <c r="L29" s="43"/>
      <c r="M29" s="43"/>
      <c r="N29" s="44"/>
      <c r="O29" s="42" t="n">
        <v>0</v>
      </c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BQ29</f>
        <is>
          <t/>
        </is>
      </c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9"/>
      <c r="AP29" s="47"/>
      <c r="AQ29" s="53"/>
      <c r="AR29" s="0" t="inlineStr">
        <f aca="false">IF(AND(M29="x",AQ29=""),"TODO !","")</f>
        <is>
          <t/>
        </is>
      </c>
      <c r="AT29" s="2"/>
      <c r="AU29" s="45" t="n">
        <f aca="false">Q29*R29*O29</f>
        <v>0</v>
      </c>
      <c r="AV29" s="2"/>
      <c r="AX29" s="45" t="inlineStr">
        <f aca="false">IF(J29="x",AX$3,"")</f>
        <is>
          <t/>
        </is>
      </c>
      <c r="AY29" s="45" t="inlineStr">
        <f aca="false">IF(K29="x",AY$3,"")</f>
        <is>
          <t/>
        </is>
      </c>
      <c r="AZ29" s="45" t="inlineStr">
        <f aca="false">IF(L29="x",AZ$3,"")</f>
        <is>
          <t/>
        </is>
      </c>
      <c r="BA29" s="45" t="inlineStr">
        <f aca="false">IF(M29="x",BA$3,"")</f>
        <is>
          <t/>
        </is>
      </c>
      <c r="BB29" s="2"/>
      <c r="BC29" s="45" t="n">
        <f aca="false">COUNTIF(J29:M29,"=x")</f>
        <v>0</v>
      </c>
      <c r="BD29" s="45" t="inlineStr">
        <f aca="false">IF(BC29&gt;0,AVERAGE(AX29:BA29),"")</f>
        <is>
          <t/>
        </is>
      </c>
      <c r="BE29" s="45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6" t="inlineStr">
        <f aca="false">BE29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/>
      <c r="K30" s="43"/>
      <c r="L30" s="43"/>
      <c r="M30" s="43"/>
      <c r="N30" s="44"/>
      <c r="O30" s="42" t="n">
        <v>0</v>
      </c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BQ30</f>
        <is>
          <t/>
        </is>
      </c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9"/>
      <c r="AP30" s="47"/>
      <c r="AQ30" s="53"/>
      <c r="AR30" s="0" t="inlineStr">
        <f aca="false">IF(AND(M30="x",AQ30=""),"TODO !","")</f>
        <is>
          <t/>
        </is>
      </c>
      <c r="AT30" s="2"/>
      <c r="AU30" s="45" t="n">
        <f aca="false">Q30*R30*O30</f>
        <v>0</v>
      </c>
      <c r="AV30" s="2"/>
      <c r="AX30" s="45" t="inlineStr">
        <f aca="false">IF(J30="x",AX$3,"")</f>
        <is>
          <t/>
        </is>
      </c>
      <c r="AY30" s="45" t="inlineStr">
        <f aca="false">IF(K30="x",AY$3,"")</f>
        <is>
          <t/>
        </is>
      </c>
      <c r="AZ30" s="45" t="inlineStr">
        <f aca="false">IF(L30="x",AZ$3,"")</f>
        <is>
          <t/>
        </is>
      </c>
      <c r="BA30" s="45" t="inlineStr">
        <f aca="false">IF(M30="x",BA$3,"")</f>
        <is>
          <t/>
        </is>
      </c>
      <c r="BB30" s="2"/>
      <c r="BC30" s="45" t="n">
        <f aca="false">COUNTIF(J30:M30,"=x")</f>
        <v>0</v>
      </c>
      <c r="BD30" s="45" t="inlineStr">
        <f aca="false">IF(BC30&gt;0,AVERAGE(AX30:BA30),"")</f>
        <is>
          <t/>
        </is>
      </c>
      <c r="BE30" s="45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6" t="inlineStr">
        <f aca="false">BE30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/>
      <c r="K31" s="43"/>
      <c r="L31" s="43"/>
      <c r="M31" s="43"/>
      <c r="N31" s="44"/>
      <c r="O31" s="42" t="n">
        <v>0</v>
      </c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BQ31</f>
        <is>
          <t/>
        </is>
      </c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9"/>
      <c r="AP31" s="47"/>
      <c r="AQ31" s="53"/>
      <c r="AR31" s="0" t="inlineStr">
        <f aca="false">IF(AND(M31="x",AQ31=""),"TODO !","")</f>
        <is>
          <t/>
        </is>
      </c>
      <c r="AT31" s="2"/>
      <c r="AU31" s="45" t="n">
        <f aca="false">Q31*R31*O31</f>
        <v>0</v>
      </c>
      <c r="AV31" s="2"/>
      <c r="AW31" s="60"/>
      <c r="AX31" s="45" t="inlineStr">
        <f aca="false">IF(J31="x",AX$3,"")</f>
        <is>
          <t/>
        </is>
      </c>
      <c r="AY31" s="45" t="inlineStr">
        <f aca="false">IF(K31="x",AY$3,"")</f>
        <is>
          <t/>
        </is>
      </c>
      <c r="AZ31" s="45" t="inlineStr">
        <f aca="false">IF(L31="x",AZ$3,"")</f>
        <is>
          <t/>
        </is>
      </c>
      <c r="BA31" s="45" t="inlineStr">
        <f aca="false">IF(M31="x",BA$3,"")</f>
        <is>
          <t/>
        </is>
      </c>
      <c r="BB31" s="2"/>
      <c r="BC31" s="45" t="n">
        <f aca="false">COUNTIF(J31:M31,"=x")</f>
        <v>0</v>
      </c>
      <c r="BD31" s="45" t="inlineStr">
        <f aca="false">IF(BC31&gt;0,AVERAGE(AX31:BA31),"")</f>
        <is>
          <t/>
        </is>
      </c>
      <c r="BE31" s="45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6" t="inlineStr">
        <f aca="false">BE31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BQ32</f>
        <is>
          <t/>
        </is>
      </c>
      <c r="AO32" s="58"/>
      <c r="AQ32" s="78"/>
      <c r="AT32" s="37"/>
      <c r="AU32" s="2"/>
      <c r="AV32" s="37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BQ33</f>
        <is>
          <t/>
        </is>
      </c>
      <c r="AO33" s="58"/>
      <c r="AQ33" s="78"/>
      <c r="AT33" s="37"/>
      <c r="AU33" s="2"/>
      <c r="AV33" s="37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75" hidden="false" customHeight="false" outlineLevel="0" collapsed="false">
      <c r="B34" s="61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/>
      <c r="K34" s="43"/>
      <c r="L34" s="43" t="s">
        <v>38</v>
      </c>
      <c r="M34" s="43"/>
      <c r="N34" s="44"/>
      <c r="O34" s="42" t="n">
        <v>2</v>
      </c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BQ34</f>
        <v>4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5"/>
      <c r="AH34" s="45"/>
      <c r="AI34" s="2"/>
      <c r="AJ34" s="2"/>
      <c r="AK34" s="2"/>
      <c r="AL34" s="2"/>
      <c r="AM34" s="2"/>
      <c r="AN34" s="2"/>
      <c r="AO34" s="49"/>
      <c r="AP34" s="2"/>
      <c r="AQ34" s="79"/>
      <c r="AR34" s="0" t="str">
        <f aca="false">IF(AND(M34="x",AQ34=""),"TODO !","")</f>
        <v/>
      </c>
      <c r="AT34" s="2"/>
      <c r="AU34" s="45" t="n">
        <f aca="false">Q34*R34*O34</f>
        <v>2</v>
      </c>
      <c r="AV34" s="2"/>
      <c r="AX34" s="45" t="str">
        <f aca="false">IF(J34="x",AX$3,"")</f>
        <v/>
      </c>
      <c r="AY34" s="45" t="str">
        <f aca="false">IF(K34="x",AY$3,"")</f>
        <v/>
      </c>
      <c r="AZ34" s="45" t="n">
        <f aca="false">IF(L34="x",AZ$3,"")</f>
        <v>2</v>
      </c>
      <c r="BA34" s="45" t="str">
        <f aca="false">IF(M34="x",BA$3,"")</f>
        <v/>
      </c>
      <c r="BB34" s="2"/>
      <c r="BC34" s="45" t="n">
        <f aca="false">COUNTIF(J34:M34,"=x")</f>
        <v>1</v>
      </c>
      <c r="BD34" s="45" t="n">
        <f aca="false">IF(BC34&gt;0,AVERAGE(AX34:BA34),"")</f>
        <v>2</v>
      </c>
      <c r="BE34" s="45" t="n">
        <f aca="false">IF(AND(BC34&gt;0,Q34=1),BD34*O34,"")</f>
        <v>4</v>
      </c>
      <c r="BJ34" s="45" t="n">
        <f aca="false">IF(G34="x",BJ$3,"")</f>
        <v>0</v>
      </c>
      <c r="BK34" s="45" t="inlineStr">
        <f aca="false">IF(H34="x",BK$3,"")</f>
        <is>
          <t/>
        </is>
      </c>
      <c r="BL34" s="37"/>
      <c r="BM34" s="45" t="n">
        <f aca="false">COUNTIF(G34:H34,"=x")</f>
        <v>1</v>
      </c>
      <c r="BN34" s="45" t="n">
        <f aca="false">IF(BM34&gt;0,AVERAGE(BJ34:BK34),"")</f>
        <v>0</v>
      </c>
      <c r="BO34" s="45" t="n">
        <f aca="false">IF(AND(BM34&gt;0,Q34=1),BN34*O34,"")</f>
        <v>0</v>
      </c>
      <c r="BQ34" s="45" t="n">
        <f aca="false">MAX(BE34,BO34)</f>
        <v>4</v>
      </c>
    </row>
    <row r="35" customFormat="false" ht="12.75" hidden="false" customHeight="false" outlineLevel="0" collapsed="false">
      <c r="B35" s="61"/>
      <c r="C35" s="54" t="s">
        <v>47</v>
      </c>
      <c r="D35" s="55"/>
      <c r="E35" s="56"/>
      <c r="F35" s="34"/>
      <c r="G35" s="24"/>
      <c r="H35" s="24"/>
      <c r="I35" s="37"/>
      <c r="J35" s="33"/>
      <c r="K35" s="80"/>
      <c r="L35" s="81"/>
      <c r="M35" s="33" t="s">
        <v>38</v>
      </c>
      <c r="O35" s="42" t="n">
        <v>1</v>
      </c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BQ35</f>
        <v>3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49"/>
      <c r="AQ35" s="79"/>
      <c r="AR35" s="0" t="str">
        <f aca="false">IF(AND(M35="x",AQ35=""),"TODO !","")</f>
        <v>TODO !</v>
      </c>
      <c r="AU35" s="45" t="n">
        <f aca="false">Q35*R35*O35</f>
        <v>0</v>
      </c>
      <c r="AX35" s="45" t="inlineStr">
        <f aca="false">IF(J35="x",AX$3,"")</f>
        <is>
          <t/>
        </is>
      </c>
      <c r="AY35" s="45" t="inlineStr">
        <f aca="false">IF(K35="x",AY$3,"")</f>
        <is>
          <t/>
        </is>
      </c>
      <c r="AZ35" s="45" t="inlineStr">
        <f aca="false">IF(L35="x",AZ$3,"")</f>
        <is>
          <t/>
        </is>
      </c>
      <c r="BA35" s="45" t="n">
        <f aca="false">IF(M35="x",BA$3,"")</f>
        <v>3</v>
      </c>
      <c r="BC35" s="45" t="n">
        <f aca="false">COUNTIF(J35:M35,"=x")</f>
        <v>1</v>
      </c>
      <c r="BD35" s="45" t="n">
        <f aca="false">IF(BC35&gt;0,AVERAGE(AX35:BA35),"")</f>
        <v>3</v>
      </c>
      <c r="BE35" s="45" t="n">
        <f aca="false">IF(AND(BC35&gt;0,Q35=1),BD35*O35,"")</f>
        <v>3</v>
      </c>
      <c r="BJ35" s="45" t="inlineStr">
        <f aca="false">IF(G35="x",BJ$3,"")</f>
        <is>
          <t/>
        </is>
      </c>
      <c r="BK35" s="45" t="inlineStr">
        <f aca="false">IF(H35="x",BK$3,"")</f>
        <is>
          <t/>
        </is>
      </c>
      <c r="BM35" s="45" t="n">
        <f aca="false">COUNTIF(G35:H35,"=x")</f>
        <v>0</v>
      </c>
      <c r="BN35" s="45" t="inlineStr">
        <f aca="false">IF(BM35&gt;0,AVERAGE(BJ35:BK35),"")</f>
        <is>
          <t/>
        </is>
      </c>
      <c r="BO35" s="45" t="inlineStr">
        <f aca="false">IF(AND(BM35&gt;0,Q35=1),BN35*O35,"")</f>
        <is>
          <t/>
        </is>
      </c>
      <c r="BQ35" s="45" t="n">
        <f aca="false">MAX(BE35,BO35)</f>
        <v>3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83"/>
      <c r="AP36" s="60"/>
      <c r="AQ36" s="60"/>
      <c r="AR36" s="0" t="str">
        <f aca="false">IF(M36="x","TODO !","")</f>
        <v/>
      </c>
      <c r="AS36" s="60"/>
      <c r="AT36" s="2"/>
      <c r="AU36" s="84"/>
      <c r="AV36" s="2"/>
      <c r="AW36" s="60"/>
      <c r="AX36" s="60"/>
      <c r="AY36" s="60"/>
      <c r="AZ36" s="60"/>
      <c r="BA36" s="60"/>
      <c r="BB36" s="60"/>
      <c r="BC36" s="60"/>
      <c r="BD36" s="60"/>
      <c r="BE36" s="82"/>
      <c r="BQ36" s="82"/>
    </row>
    <row r="37" customFormat="false" ht="12.75" hidden="true" customHeight="true" outlineLevel="1" collapsed="false">
      <c r="O37" s="85" t="n">
        <f aca="false">SUM(O5:O35)</f>
        <v>59</v>
      </c>
      <c r="P37" s="37"/>
      <c r="Q37" s="37"/>
      <c r="R37" s="37"/>
      <c r="S37" s="37"/>
      <c r="T37" s="37"/>
      <c r="U37" s="37" t="n">
        <f aca="false">BQ37</f>
        <v>27</v>
      </c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86"/>
      <c r="AP37" s="37"/>
      <c r="AQ37" s="37"/>
      <c r="AR37" s="0" t="inlineStr">
        <f aca="false">IF(M37="x","TODO !","")</f>
        <is>
          <t/>
        </is>
      </c>
      <c r="AT37" s="85"/>
      <c r="AU37" s="85" t="n">
        <f aca="false">SUM(AT5:AW35)</f>
        <v>12</v>
      </c>
      <c r="AV37" s="85"/>
      <c r="AW37" s="37"/>
      <c r="AX37" s="37"/>
      <c r="AY37" s="37"/>
      <c r="AZ37" s="37"/>
      <c r="BA37" s="37"/>
      <c r="BB37" s="37"/>
      <c r="BC37" s="37"/>
      <c r="BD37" s="37"/>
      <c r="BE37" s="87" t="n">
        <f aca="false">SUM(BE5:BE35)</f>
        <v>27</v>
      </c>
      <c r="BP37" s="88" t="s">
        <v>48</v>
      </c>
      <c r="BQ37" s="89" t="n">
        <f aca="false">SUM(BQ5:BQ35)</f>
        <v>27</v>
      </c>
    </row>
    <row r="38" customFormat="false" ht="12.75" hidden="true" customHeight="false" outlineLevel="1" collapsed="false"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86"/>
      <c r="AP38" s="37"/>
      <c r="AQ38" s="37"/>
      <c r="AR38" s="0" t="inlineStr">
        <f aca="false">IF(M38="x","TODO !","")</f>
        <is>
          <t/>
        </is>
      </c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P38" s="90"/>
      <c r="BQ38" s="85"/>
    </row>
    <row r="39" customFormat="false" ht="12.75" hidden="true" customHeight="false" outlineLevel="1" collapsed="false"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86"/>
      <c r="AP39" s="37"/>
      <c r="AQ39" s="37"/>
      <c r="AR39" s="0" t="inlineStr">
        <f aca="false">IF(M39="x","TODO !","")</f>
        <is>
          <t/>
        </is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89" t="n">
        <f aca="false">BE37/AU37</f>
        <v>2.25</v>
      </c>
      <c r="BP39" s="88" t="s">
        <v>49</v>
      </c>
      <c r="BQ39" s="89" t="n">
        <f aca="false">BQ37/AU37</f>
        <v>2.25</v>
      </c>
    </row>
    <row r="40" customFormat="false" ht="12.75" hidden="true" customHeight="false" outlineLevel="1" collapsed="false">
      <c r="AO40" s="58"/>
      <c r="AR40" s="0" t="inlineStr">
        <f aca="false">IF(M40="x","TODO !","")</f>
        <is>
          <t/>
        </is>
      </c>
      <c r="BP40" s="90"/>
      <c r="BQ40" s="85"/>
    </row>
    <row r="41" customFormat="false" ht="12.75" hidden="true" customHeight="false" outlineLevel="1" collapsed="false">
      <c r="AO41" s="58"/>
      <c r="AR41" s="0" t="inlineStr">
        <f aca="false">IF(M41="x","TODO !","")</f>
        <is>
          <t/>
        </is>
      </c>
      <c r="BE41" s="91" t="n">
        <f aca="false">5/3*BE39+1</f>
        <v>4.75</v>
      </c>
      <c r="BP41" s="88" t="s">
        <v>50</v>
      </c>
      <c r="BQ41" s="85" t="n">
        <f aca="false">5/3*BQ39+1</f>
        <v>4.75</v>
      </c>
    </row>
    <row r="42" customFormat="false" ht="12.75" hidden="true" customHeight="false" outlineLevel="1" collapsed="false">
      <c r="AO42" s="58"/>
      <c r="AR42" s="0" t="inlineStr">
        <f aca="false">IF(M42="x","TODO !","")</f>
        <is>
          <t/>
        </is>
      </c>
    </row>
    <row r="43" customFormat="false" ht="12.75" hidden="false" customHeight="false" outlineLevel="0" collapsed="false">
      <c r="AO43" s="58"/>
    </row>
    <row r="44" customFormat="false" ht="12.75" hidden="false" customHeight="false" outlineLevel="0" collapsed="false">
      <c r="B44" s="61" t="s">
        <v>51</v>
      </c>
      <c r="C44" s="38" t="s">
        <v>52</v>
      </c>
      <c r="D44" s="39"/>
      <c r="E44" s="40"/>
      <c r="G44" s="92" t="n">
        <v>0</v>
      </c>
      <c r="H44" s="92"/>
      <c r="I44" s="92"/>
      <c r="J44" s="92"/>
      <c r="K44" s="92"/>
      <c r="L44" s="92"/>
      <c r="M44" s="92"/>
      <c r="AQ44" s="93"/>
      <c r="AR44" s="94" t="str">
        <f aca="false">IF(AND(G44&gt;0,AQ44=""),"TODO !","")</f>
        <v/>
      </c>
    </row>
    <row r="45" customFormat="false" ht="12.75" hidden="false" customHeight="false" outlineLevel="0" collapsed="false">
      <c r="B45" s="61"/>
      <c r="C45" s="54" t="s">
        <v>53</v>
      </c>
      <c r="D45" s="55"/>
      <c r="E45" s="56"/>
      <c r="G45" s="92"/>
      <c r="H45" s="92"/>
      <c r="I45" s="92"/>
      <c r="J45" s="92"/>
      <c r="K45" s="92"/>
      <c r="L45" s="92"/>
      <c r="M45" s="92"/>
      <c r="AQ45" s="95"/>
      <c r="AR45" s="94"/>
      <c r="BF45" s="2"/>
      <c r="BG45" s="2"/>
      <c r="BH45" s="60"/>
      <c r="BI45" s="96"/>
      <c r="BJ45" s="96"/>
      <c r="BK45" s="96"/>
      <c r="BL45" s="96"/>
      <c r="BM45" s="60"/>
      <c r="BN45" s="60"/>
      <c r="BO45" s="60"/>
    </row>
    <row r="46" customFormat="false" ht="12.75" hidden="false" customHeight="false" outlineLevel="0" collapsed="false">
      <c r="D46" s="60"/>
      <c r="G46" s="97" t="s">
        <v>54</v>
      </c>
      <c r="H46" s="97"/>
      <c r="I46" s="97"/>
      <c r="J46" s="97"/>
      <c r="K46" s="97"/>
      <c r="L46" s="97"/>
      <c r="M46" s="97"/>
      <c r="BF46" s="2"/>
      <c r="BG46" s="2"/>
      <c r="BH46" s="60"/>
      <c r="BI46" s="98"/>
      <c r="BJ46" s="96"/>
      <c r="BK46" s="96"/>
      <c r="BL46" s="96"/>
      <c r="BM46" s="60"/>
      <c r="BN46" s="98"/>
      <c r="BO46" s="60"/>
    </row>
    <row r="47" customFormat="false" ht="13.5" hidden="false" customHeight="false" outlineLevel="0" collapsed="false">
      <c r="D47" s="41"/>
      <c r="BF47" s="60"/>
      <c r="BG47" s="60"/>
      <c r="BH47" s="60"/>
      <c r="BI47" s="60"/>
      <c r="BJ47" s="60"/>
      <c r="BK47" s="60"/>
      <c r="BL47" s="60"/>
      <c r="BM47" s="60"/>
      <c r="BN47" s="60"/>
      <c r="BO47" s="60"/>
    </row>
    <row r="48" customFormat="false" ht="24" hidden="false" customHeight="false" outlineLevel="0" collapsed="false">
      <c r="D48" s="99" t="s">
        <v>7</v>
      </c>
      <c r="E48" s="99"/>
      <c r="G48" s="100" t="n">
        <f aca="false">ROUND(BQ41+G44,1)</f>
        <v>4.8</v>
      </c>
      <c r="H48" s="100"/>
      <c r="I48" s="100"/>
      <c r="J48" s="100"/>
      <c r="K48" s="100"/>
      <c r="L48" s="100"/>
      <c r="M48" s="100"/>
      <c r="R48" s="57"/>
      <c r="S48" s="57"/>
      <c r="T48" s="101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BF48" s="2"/>
      <c r="BG48" s="2"/>
      <c r="BH48" s="60"/>
      <c r="BI48" s="2"/>
      <c r="BJ48" s="102"/>
      <c r="BK48" s="2"/>
      <c r="BL48" s="2"/>
      <c r="BM48" s="103"/>
      <c r="BN48" s="104"/>
      <c r="BO48" s="60"/>
    </row>
    <row r="49" customFormat="false" ht="12.75" hidden="false" customHeight="false" outlineLevel="0" collapsed="false">
      <c r="F49" s="41"/>
      <c r="G49" s="105" t="s">
        <v>55</v>
      </c>
      <c r="H49" s="105"/>
      <c r="I49" s="105"/>
      <c r="J49" s="105"/>
      <c r="K49" s="105"/>
      <c r="L49" s="105"/>
      <c r="M49" s="105"/>
      <c r="BF49" s="2"/>
      <c r="BG49" s="2"/>
      <c r="BH49" s="60"/>
      <c r="BI49" s="2"/>
      <c r="BJ49" s="102"/>
      <c r="BK49" s="2"/>
      <c r="BL49" s="2"/>
      <c r="BM49" s="103"/>
      <c r="BN49" s="104"/>
      <c r="BO49" s="60"/>
    </row>
    <row r="50" customFormat="false" ht="12.75" hidden="false" customHeight="false" outlineLevel="0" collapsed="false">
      <c r="BF50" s="60"/>
      <c r="BG50" s="60"/>
      <c r="BH50" s="60"/>
      <c r="BI50" s="2"/>
      <c r="BJ50" s="83"/>
      <c r="BK50" s="60"/>
      <c r="BL50" s="2"/>
      <c r="BM50" s="106"/>
      <c r="BN50" s="60"/>
      <c r="BO50" s="60"/>
    </row>
    <row r="51" customFormat="false" ht="12.75" hidden="false" customHeight="false" outlineLevel="0" collapsed="false">
      <c r="BF51" s="2"/>
      <c r="BG51" s="2"/>
      <c r="BH51" s="60"/>
      <c r="BI51" s="2"/>
      <c r="BJ51" s="102"/>
      <c r="BK51" s="2"/>
      <c r="BL51" s="2"/>
      <c r="BM51" s="103"/>
      <c r="BN51" s="104"/>
      <c r="BO51" s="60"/>
    </row>
    <row r="52" customFormat="false" ht="21" hidden="false" customHeight="true" outlineLevel="0" collapsed="false">
      <c r="W52" s="107" t="s">
        <v>56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BF52" s="2"/>
      <c r="BG52" s="2"/>
      <c r="BH52" s="60"/>
      <c r="BI52" s="2"/>
      <c r="BJ52" s="102"/>
      <c r="BK52" s="2"/>
      <c r="BL52" s="2"/>
      <c r="BM52" s="103"/>
      <c r="BN52" s="104"/>
      <c r="BO52" s="60"/>
    </row>
    <row r="53" customFormat="false" ht="13.5" hidden="false" customHeight="true" outlineLevel="0" collapsed="false">
      <c r="BF53" s="2"/>
      <c r="BG53" s="2"/>
      <c r="BH53" s="60"/>
      <c r="BI53" s="2"/>
      <c r="BJ53" s="102"/>
      <c r="BK53" s="2"/>
      <c r="BL53" s="2"/>
      <c r="BM53" s="103"/>
      <c r="BN53" s="104"/>
      <c r="BO53" s="60"/>
    </row>
    <row r="54" customFormat="false" ht="12.75" hidden="false" customHeight="false" outlineLevel="0" collapsed="false">
      <c r="W54" s="108" t="s">
        <v>57</v>
      </c>
      <c r="X54" s="109"/>
      <c r="Y54" s="109"/>
      <c r="Z54" s="109"/>
      <c r="AA54" s="110"/>
      <c r="AB54" s="111" t="s">
        <v>58</v>
      </c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0" t="str">
        <f aca="false">IF(AB54="","TODO !","Merci !")</f>
        <v>Merci !</v>
      </c>
      <c r="BF54" s="2"/>
      <c r="BG54" s="2"/>
      <c r="BH54" s="60"/>
      <c r="BI54" s="2"/>
      <c r="BJ54" s="102"/>
      <c r="BK54" s="2"/>
      <c r="BL54" s="2"/>
      <c r="BM54" s="103"/>
      <c r="BN54" s="104"/>
      <c r="BO54" s="60"/>
    </row>
    <row r="55" customFormat="false" ht="12.75" hidden="false" customHeight="false" outlineLevel="0" collapsed="false">
      <c r="W55" s="112" t="s">
        <v>59</v>
      </c>
      <c r="X55" s="113"/>
      <c r="Y55" s="113"/>
      <c r="Z55" s="113"/>
      <c r="AA55" s="114"/>
      <c r="AB55" s="115" t="s">
        <v>60</v>
      </c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0" t="str">
        <f aca="false">IF(AB55="","TODO !","Merci !")</f>
        <v>Merci !</v>
      </c>
      <c r="BF55" s="60"/>
      <c r="BG55" s="60"/>
      <c r="BH55" s="60"/>
      <c r="BI55" s="2"/>
      <c r="BJ55" s="83"/>
      <c r="BK55" s="60"/>
      <c r="BL55" s="2"/>
      <c r="BM55" s="106"/>
      <c r="BN55" s="60"/>
      <c r="BO55" s="60"/>
    </row>
    <row r="56" customFormat="false" ht="12.75" hidden="false" customHeight="false" outlineLevel="0" collapsed="false">
      <c r="AB56" s="60"/>
      <c r="BF56" s="2"/>
      <c r="BG56" s="2"/>
      <c r="BH56" s="60"/>
      <c r="BI56" s="2"/>
      <c r="BJ56" s="102"/>
      <c r="BK56" s="2"/>
      <c r="BL56" s="2"/>
      <c r="BM56" s="103"/>
      <c r="BN56" s="104"/>
      <c r="BO56" s="60"/>
    </row>
    <row r="57" customFormat="false" ht="12.75" hidden="false" customHeight="false" outlineLevel="0" collapsed="false">
      <c r="W57" s="116" t="s">
        <v>61</v>
      </c>
      <c r="X57" s="117"/>
      <c r="Y57" s="117"/>
      <c r="Z57" s="117"/>
      <c r="AA57" s="118"/>
      <c r="AB57" s="33" t="s">
        <v>62</v>
      </c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0" t="str">
        <f aca="false">IF(AB57="","TODO !","Merci !")</f>
        <v>Merci !</v>
      </c>
      <c r="BF57" s="2"/>
      <c r="BG57" s="2"/>
      <c r="BH57" s="60"/>
      <c r="BI57" s="2"/>
      <c r="BJ57" s="102"/>
      <c r="BK57" s="2"/>
      <c r="BL57" s="2"/>
      <c r="BM57" s="103"/>
      <c r="BN57" s="104"/>
      <c r="BO57" s="60"/>
    </row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BJ3:BK3">
    <cfRule type="cellIs" priority="2" operator="equal" aboveAverage="0" equalAverage="0" bottom="0" percent="0" rank="0" text="" dxfId="1">
      <formula>1</formula>
    </cfRule>
  </conditionalFormatting>
  <conditionalFormatting sqref="AP54">
    <cfRule type="containsText" priority="3" aboveAverage="0" equalAverage="0" bottom="0" percent="0" rank="0" text="TODO" dxfId="3"/>
  </conditionalFormatting>
  <conditionalFormatting sqref="AP55">
    <cfRule type="containsText" priority="4" aboveAverage="0" equalAverage="0" bottom="0" percent="0" rank="0" text="TODO" dxfId="4"/>
  </conditionalFormatting>
  <conditionalFormatting sqref="AP57">
    <cfRule type="containsText" priority="5" aboveAverage="0" equalAverage="0" bottom="0" percent="0" rank="0" text="TODO" dxfId="5"/>
  </conditionalFormatting>
  <conditionalFormatting sqref="AR36:AR44">
    <cfRule type="containsText" priority="6" aboveAverage="0" equalAverage="0" bottom="0" percent="0" rank="0" text="TODO" dxfId="6"/>
  </conditionalFormatting>
  <conditionalFormatting sqref="AR5:AR35">
    <cfRule type="containsText" priority="7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7" activeCellId="0" sqref="P4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19" t="s">
        <v>1</v>
      </c>
      <c r="C2" s="119"/>
      <c r="D2" s="119"/>
      <c r="E2" s="119"/>
      <c r="F2" s="7"/>
      <c r="G2" s="42" t="s">
        <v>2</v>
      </c>
      <c r="H2" s="42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63</v>
      </c>
      <c r="X2" s="11"/>
      <c r="Y2" s="120" t="s">
        <v>64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63</v>
      </c>
      <c r="X3" s="28"/>
      <c r="Y3" s="120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2"/>
      <c r="AJ3" s="33" t="s">
        <v>32</v>
      </c>
      <c r="AK3" s="33" t="s">
        <v>33</v>
      </c>
      <c r="AL3" s="33" t="s">
        <v>34</v>
      </c>
      <c r="AQ3" s="32" t="n">
        <v>0</v>
      </c>
      <c r="AR3" s="32" t="n">
        <v>1</v>
      </c>
      <c r="AT3" s="33" t="s">
        <v>32</v>
      </c>
      <c r="AU3" s="33" t="s">
        <v>33</v>
      </c>
      <c r="AV3" s="33" t="s">
        <v>34</v>
      </c>
      <c r="AX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P4" s="60"/>
      <c r="R4" s="37"/>
      <c r="S4" s="27"/>
      <c r="T4" s="27"/>
      <c r="AA4" s="37"/>
      <c r="AB4" s="37"/>
      <c r="AC4" s="37"/>
    </row>
    <row r="5" customFormat="false" ht="12.75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 t="s">
        <v>38</v>
      </c>
      <c r="H5" s="42"/>
      <c r="J5" s="43" t="s">
        <v>38</v>
      </c>
      <c r="K5" s="43"/>
      <c r="L5" s="43"/>
      <c r="M5" s="43"/>
      <c r="N5" s="44"/>
      <c r="O5" s="42" t="n">
        <v>2</v>
      </c>
      <c r="P5" s="121"/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AX5</f>
        <v>0</v>
      </c>
      <c r="V5" s="47"/>
      <c r="W5" s="46" t="n">
        <f aca="false">IF(Q5=1,U5-ByStudent!U5,"")</f>
        <v>-4</v>
      </c>
      <c r="X5" s="47"/>
      <c r="Y5" s="53"/>
      <c r="AA5" s="2"/>
      <c r="AB5" s="45" t="n">
        <f aca="false">Q5*R5*O5</f>
        <v>2</v>
      </c>
      <c r="AC5" s="2"/>
      <c r="AE5" s="45" t="n">
        <f aca="false">IF(J5="x",AE$3,"")</f>
        <v>0</v>
      </c>
      <c r="AF5" s="45" t="str">
        <f aca="false">IF(K5="x",AF$3,"")</f>
        <v/>
      </c>
      <c r="AG5" s="45" t="str">
        <f aca="false">IF(L5="x",AG$3,"")</f>
        <v/>
      </c>
      <c r="AH5" s="45" t="str">
        <f aca="false">IF(M5="x",AH$3,"")</f>
        <v/>
      </c>
      <c r="AI5" s="2"/>
      <c r="AJ5" s="45" t="n">
        <f aca="false">COUNTIF(J5:M5,"=x")</f>
        <v>1</v>
      </c>
      <c r="AK5" s="45" t="n">
        <f aca="false">IF(AJ5&gt;0,AVERAGE(AE5:AH5),"")</f>
        <v>0</v>
      </c>
      <c r="AL5" s="45" t="n">
        <f aca="false">IF(AND(AJ5&gt;0,Q5=1),AK5*O5,"")</f>
        <v>0</v>
      </c>
      <c r="AQ5" s="45" t="n">
        <f aca="false">IF(G5="x",AQ$3,"")</f>
        <v>0</v>
      </c>
      <c r="AR5" s="45" t="str">
        <f aca="false">IF(H5="x",AR$3,"")</f>
        <v/>
      </c>
      <c r="AS5" s="37"/>
      <c r="AT5" s="45" t="n">
        <f aca="false">COUNTIF(G5:H5,"=x")</f>
        <v>1</v>
      </c>
      <c r="AU5" s="45" t="n">
        <f aca="false">IF(AT5&gt;0,AVERAGE(AQ5:AR5),"")</f>
        <v>0</v>
      </c>
      <c r="AV5" s="45" t="n">
        <f aca="false">IF(AND(AT5&gt;0,Q5=1),AU5*O5,"")</f>
        <v>0</v>
      </c>
      <c r="AX5" s="46" t="n">
        <f aca="false">MAX(AL5,AV5)</f>
        <v>0</v>
      </c>
    </row>
    <row r="6" customFormat="false" ht="12.75" hidden="false" customHeight="false" outlineLevel="0" collapsed="false">
      <c r="B6" s="25"/>
      <c r="C6" s="51" t="s">
        <v>65</v>
      </c>
      <c r="D6" s="41"/>
      <c r="E6" s="52"/>
      <c r="F6" s="41"/>
      <c r="G6" s="42" t="s">
        <v>38</v>
      </c>
      <c r="H6" s="42"/>
      <c r="J6" s="43" t="s">
        <v>38</v>
      </c>
      <c r="K6" s="43"/>
      <c r="L6" s="43"/>
      <c r="M6" s="43"/>
      <c r="N6" s="44"/>
      <c r="O6" s="42" t="n">
        <v>4</v>
      </c>
      <c r="P6" s="121"/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AX6</f>
        <v>0</v>
      </c>
      <c r="V6" s="47"/>
      <c r="W6" s="46" t="n">
        <f aca="false">IF(Q6=1,U6-ByStudent!U6,"")</f>
        <v>-8</v>
      </c>
      <c r="X6" s="47"/>
      <c r="Y6" s="53"/>
      <c r="AA6" s="2"/>
      <c r="AB6" s="45" t="n">
        <f aca="false">Q6*R6*O6</f>
        <v>4</v>
      </c>
      <c r="AC6" s="2"/>
      <c r="AE6" s="45" t="n">
        <f aca="false">IF(J6="x",AE$3,"")</f>
        <v>0</v>
      </c>
      <c r="AF6" s="45" t="inlineStr">
        <f aca="false">IF(K6="x",AF$3,"")</f>
        <is>
          <t/>
        </is>
      </c>
      <c r="AG6" s="45" t="inlineStr">
        <f aca="false">IF(L6="x",AG$3,"")</f>
        <is>
          <t/>
        </is>
      </c>
      <c r="AH6" s="45" t="inlineStr">
        <f aca="false">IF(M6="x",AH$3,"")</f>
        <is>
          <t/>
        </is>
      </c>
      <c r="AI6" s="2"/>
      <c r="AJ6" s="45" t="n">
        <f aca="false">COUNTIF(J6:M6,"=x")</f>
        <v>1</v>
      </c>
      <c r="AK6" s="45" t="n">
        <f aca="false">IF(AJ6&gt;0,AVERAGE(AE6:AH6),"")</f>
        <v>0</v>
      </c>
      <c r="AL6" s="45" t="n">
        <f aca="false">IF(AND(AJ6&gt;0,Q6=1),AK6*O6,"")</f>
        <v>0</v>
      </c>
      <c r="AQ6" s="45" t="n">
        <f aca="false">IF(G6="x",AQ$3,"")</f>
        <v>0</v>
      </c>
      <c r="AR6" s="45" t="inlineStr">
        <f aca="false">IF(H6="x",AR$3,"")</f>
        <is>
          <t/>
        </is>
      </c>
      <c r="AS6" s="37"/>
      <c r="AT6" s="45" t="n">
        <f aca="false">COUNTIF(G6:H6,"=x")</f>
        <v>1</v>
      </c>
      <c r="AU6" s="45" t="n">
        <f aca="false">IF(AT6&gt;0,AVERAGE(AQ6:AR6),"")</f>
        <v>0</v>
      </c>
      <c r="AV6" s="45" t="n">
        <f aca="false">IF(AND(AT6&gt;0,Q6=1),AU6*O6,"")</f>
        <v>0</v>
      </c>
      <c r="AX6" s="46" t="n">
        <f aca="false">MAX(AL6,AV6)</f>
        <v>0</v>
      </c>
    </row>
    <row r="7" customFormat="false" ht="12.75" hidden="false" customHeight="false" outlineLevel="0" collapsed="false">
      <c r="B7" s="25"/>
      <c r="C7" s="54" t="s">
        <v>66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P7" s="121"/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AX7</f>
        <v>0</v>
      </c>
      <c r="V7" s="47"/>
      <c r="W7" s="46" t="n">
        <f aca="false">IF(Q7=1,U7-ByStudent!U7,"")</f>
        <v>0</v>
      </c>
      <c r="X7" s="47"/>
      <c r="Y7" s="53"/>
      <c r="AA7" s="2"/>
      <c r="AB7" s="45" t="n">
        <f aca="false">Q7*R7*O7</f>
        <v>0</v>
      </c>
      <c r="AC7" s="2"/>
      <c r="AE7" s="45" t="n">
        <f aca="false">IF(J7="x",AE$3,"")</f>
        <v>0</v>
      </c>
      <c r="AF7" s="45" t="inlineStr">
        <f aca="false">IF(K7="x",AF$3,"")</f>
        <is>
          <t/>
        </is>
      </c>
      <c r="AG7" s="45" t="inlineStr">
        <f aca="false">IF(L7="x",AG$3,"")</f>
        <is>
          <t/>
        </is>
      </c>
      <c r="AH7" s="45" t="inlineStr">
        <f aca="false">IF(M7="x",AH$3,"")</f>
        <is>
          <t/>
        </is>
      </c>
      <c r="AI7" s="2"/>
      <c r="AJ7" s="45" t="n">
        <f aca="false">COUNTIF(J7:M7,"=x")</f>
        <v>1</v>
      </c>
      <c r="AK7" s="45" t="n">
        <f aca="false">IF(AJ7&gt;0,AVERAGE(AE7:AH7),"")</f>
        <v>0</v>
      </c>
      <c r="AL7" s="45" t="n">
        <f aca="false">IF(AND(AJ7&gt;0,Q7=1),AK7*O7,"")</f>
        <v>0</v>
      </c>
      <c r="AQ7" s="45" t="n">
        <f aca="false">IF(G7="x",AQ$3,"")</f>
        <v>0</v>
      </c>
      <c r="AR7" s="45" t="inlineStr">
        <f aca="false">IF(H7="x",AR$3,"")</f>
        <is>
          <t/>
        </is>
      </c>
      <c r="AS7" s="37"/>
      <c r="AT7" s="45" t="n">
        <f aca="false">COUNTIF(G7:H7,"=x")</f>
        <v>1</v>
      </c>
      <c r="AU7" s="45" t="n">
        <f aca="false">IF(AT7&gt;0,AVERAGE(AQ7:AR7),"")</f>
        <v>0</v>
      </c>
      <c r="AV7" s="45" t="n">
        <f aca="false">IF(AND(AT7&gt;0,Q7=1),AU7*O7,"")</f>
        <v>0</v>
      </c>
      <c r="AX7" s="46" t="n">
        <f aca="false">MAX(AL7,AV7)</f>
        <v>0</v>
      </c>
    </row>
    <row r="8" customFormat="false" ht="12.75" hidden="false" customHeight="false" outlineLevel="0" collapsed="false">
      <c r="G8" s="37"/>
      <c r="H8" s="37"/>
      <c r="P8" s="60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47"/>
      <c r="X8" s="57"/>
      <c r="Y8" s="59"/>
      <c r="AA8" s="37"/>
      <c r="AB8" s="2"/>
      <c r="AC8" s="37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7" t="inlineStr">
        <f aca="false">IF(G8="x",AQ$3,"")</f>
        <is>
          <t/>
        </is>
      </c>
      <c r="AR8" s="37" t="inlineStr">
        <f aca="false">IF(H8="x",AR$3,"")</f>
        <is>
          <t/>
        </is>
      </c>
      <c r="AS8" s="37"/>
      <c r="AT8" s="37"/>
      <c r="AU8" s="37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7"/>
    </row>
    <row r="9" customFormat="false" ht="12.75" hidden="false" customHeight="false" outlineLevel="0" collapsed="false">
      <c r="G9" s="37"/>
      <c r="H9" s="37"/>
      <c r="P9" s="60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47"/>
      <c r="X9" s="57"/>
      <c r="Y9" s="59"/>
      <c r="AA9" s="37"/>
      <c r="AB9" s="2"/>
      <c r="AC9" s="37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7" t="inlineStr">
        <f aca="false">IF(G9="x",AQ$3,"")</f>
        <is>
          <t/>
        </is>
      </c>
      <c r="AR9" s="37" t="inlineStr">
        <f aca="false">IF(H9="x",AR$3,"")</f>
        <is>
          <t/>
        </is>
      </c>
      <c r="AS9" s="37"/>
      <c r="AT9" s="37"/>
      <c r="AU9" s="37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7"/>
    </row>
    <row r="10" customFormat="false" ht="12.7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 t="s">
        <v>38</v>
      </c>
      <c r="K10" s="62"/>
      <c r="L10" s="43"/>
      <c r="M10" s="43"/>
      <c r="N10" s="44"/>
      <c r="O10" s="42" t="n">
        <v>4</v>
      </c>
      <c r="P10" s="121"/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AX10</f>
        <v>0</v>
      </c>
      <c r="V10" s="47"/>
      <c r="W10" s="46" t="n">
        <f aca="false">IF(Q10=1,U10-ByStudent!U10,"")</f>
        <v>-8</v>
      </c>
      <c r="X10" s="47"/>
      <c r="Y10" s="53"/>
      <c r="AA10" s="2"/>
      <c r="AB10" s="45" t="n">
        <f aca="false">Q10*R10*O10</f>
        <v>4</v>
      </c>
      <c r="AC10" s="2"/>
      <c r="AE10" s="45" t="n">
        <f aca="false">IF(J10="x",AE$3,"")</f>
        <v>0</v>
      </c>
      <c r="AF10" s="45" t="inlineStr">
        <f aca="false">IF(K10="x",AF$3,"")</f>
        <is>
          <t/>
        </is>
      </c>
      <c r="AG10" s="45" t="inlineStr">
        <f aca="false">IF(L10="x",AG$3,"")</f>
        <is>
          <t/>
        </is>
      </c>
      <c r="AH10" s="45" t="inlineStr">
        <f aca="false">IF(M10="x",AH$3,"")</f>
        <is>
          <t/>
        </is>
      </c>
      <c r="AI10" s="2"/>
      <c r="AJ10" s="45" t="n">
        <f aca="false">COUNTIF(J10:M10,"=x")</f>
        <v>1</v>
      </c>
      <c r="AK10" s="45" t="n">
        <f aca="false">IF(AJ10&gt;0,AVERAGE(AE10:AH10),"")</f>
        <v>0</v>
      </c>
      <c r="AL10" s="45" t="n">
        <f aca="false">IF(AND(AJ10&gt;0,Q10=1),AK10*O10,"")</f>
        <v>0</v>
      </c>
      <c r="AQ10" s="45" t="n">
        <f aca="false">IF(G10="x",AQ$3,"")</f>
        <v>0</v>
      </c>
      <c r="AR10" s="45" t="inlineStr">
        <f aca="false">IF(H10="x",AR$3,"")</f>
        <is>
          <t/>
        </is>
      </c>
      <c r="AS10" s="37"/>
      <c r="AT10" s="45" t="n">
        <f aca="false">COUNTIF(G10:H10,"=x")</f>
        <v>1</v>
      </c>
      <c r="AU10" s="45" t="n">
        <f aca="false">IF(AT10&gt;0,AVERAGE(AQ10:AR10),"")</f>
        <v>0</v>
      </c>
      <c r="AV10" s="45" t="n">
        <f aca="false">IF(AND(AT10&gt;0,Q10=1),AU10*O10,"")</f>
        <v>0</v>
      </c>
      <c r="AX10" s="46" t="n">
        <f aca="false">MAX(AL10,AV10)</f>
        <v>0</v>
      </c>
    </row>
    <row r="11" customFormat="false" ht="12.75" hidden="false" customHeight="false" outlineLevel="0" collapsed="false">
      <c r="B11" s="61"/>
      <c r="C11" s="51" t="s">
        <v>67</v>
      </c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P11" s="121"/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AX11</f>
        <v>0</v>
      </c>
      <c r="V11" s="47"/>
      <c r="W11" s="46" t="inlineStr">
        <f aca="false">IF(Q11=1,U11-ByStudent!U11,"")</f>
        <is>
          <t/>
        </is>
      </c>
      <c r="X11" s="47"/>
      <c r="Y11" s="53"/>
      <c r="AA11" s="2"/>
      <c r="AB11" s="45" t="n">
        <f aca="false">Q11*R11*O11</f>
        <v>0</v>
      </c>
      <c r="AC11" s="2"/>
      <c r="AE11" s="45" t="n">
        <f aca="false">IF(J11="x",AE$3,"")</f>
        <v>0</v>
      </c>
      <c r="AF11" s="45" t="inlineStr">
        <f aca="false">IF(K11="x",AF$3,"")</f>
        <is>
          <t/>
        </is>
      </c>
      <c r="AG11" s="45" t="inlineStr">
        <f aca="false">IF(L11="x",AG$3,"")</f>
        <is>
          <t/>
        </is>
      </c>
      <c r="AH11" s="45" t="inlineStr">
        <f aca="false">IF(M11="x",AH$3,"")</f>
        <is>
          <t/>
        </is>
      </c>
      <c r="AI11" s="2"/>
      <c r="AJ11" s="45" t="n">
        <f aca="false">COUNTIF(J11:M11,"=x")</f>
        <v>1</v>
      </c>
      <c r="AK11" s="45" t="n">
        <f aca="false">IF(AJ11&gt;0,AVERAGE(AE11:AH11),"")</f>
        <v>0</v>
      </c>
      <c r="AL11" s="45" t="inlineStr">
        <f aca="false">IF(AND(AJ11&gt;0,Q11=1),AK11*O11,"")</f>
        <is>
          <t/>
        </is>
      </c>
      <c r="AQ11" s="45" t="n">
        <f aca="false">IF(G11="x",AQ$3,"")</f>
        <v>0</v>
      </c>
      <c r="AR11" s="45" t="inlineStr">
        <f aca="false">IF(H11="x",AR$3,"")</f>
        <is>
          <t/>
        </is>
      </c>
      <c r="AS11" s="37"/>
      <c r="AT11" s="45" t="n">
        <f aca="false">COUNTIF(G11:H11,"=x")</f>
        <v>1</v>
      </c>
      <c r="AU11" s="45" t="n">
        <f aca="false">IF(AT11&gt;0,AVERAGE(AQ11:AR11),"")</f>
        <v>0</v>
      </c>
      <c r="AV11" s="45" t="inlineStr">
        <f aca="false">IF(AND(AT11&gt;0,Q11=1),AU11*O11,"")</f>
        <is>
          <t/>
        </is>
      </c>
      <c r="AX11" s="46" t="n">
        <f aca="false">MAX(AL11,AV11)</f>
        <v>0</v>
      </c>
    </row>
    <row r="12" customFormat="false" ht="12.75" hidden="false" customHeight="false" outlineLevel="0" collapsed="false">
      <c r="B12" s="61"/>
      <c r="C12" s="54" t="s">
        <v>68</v>
      </c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P12" s="121"/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AX12</f>
        <v>0</v>
      </c>
      <c r="V12" s="47"/>
      <c r="W12" s="46" t="inlineStr">
        <f aca="false">IF(Q12=1,U12-ByStudent!U12,"")</f>
        <is>
          <t/>
        </is>
      </c>
      <c r="X12" s="47"/>
      <c r="Y12" s="53"/>
      <c r="AA12" s="2"/>
      <c r="AB12" s="45" t="n">
        <f aca="false">Q12*R12*O12</f>
        <v>0</v>
      </c>
      <c r="AC12" s="2"/>
      <c r="AE12" s="45" t="n">
        <f aca="false">IF(J12="x",AE$3,"")</f>
        <v>0</v>
      </c>
      <c r="AF12" s="45" t="inlineStr">
        <f aca="false">IF(K12="x",AF$3,"")</f>
        <is>
          <t/>
        </is>
      </c>
      <c r="AG12" s="45" t="inlineStr">
        <f aca="false">IF(L12="x",AG$3,"")</f>
        <is>
          <t/>
        </is>
      </c>
      <c r="AH12" s="45" t="inlineStr">
        <f aca="false">IF(M12="x",AH$3,"")</f>
        <is>
          <t/>
        </is>
      </c>
      <c r="AI12" s="2"/>
      <c r="AJ12" s="45" t="n">
        <f aca="false">COUNTIF(J12:M12,"=x")</f>
        <v>1</v>
      </c>
      <c r="AK12" s="45" t="n">
        <f aca="false">IF(AJ12&gt;0,AVERAGE(AE12:AH12),"")</f>
        <v>0</v>
      </c>
      <c r="AL12" s="45" t="inlineStr">
        <f aca="false">IF(AND(AJ12&gt;0,Q12=1),AK12*O12,"")</f>
        <is>
          <t/>
        </is>
      </c>
      <c r="AQ12" s="45" t="n">
        <f aca="false">IF(G12="x",AQ$3,"")</f>
        <v>0</v>
      </c>
      <c r="AR12" s="45" t="inlineStr">
        <f aca="false">IF(H12="x",AR$3,"")</f>
        <is>
          <t/>
        </is>
      </c>
      <c r="AS12" s="37"/>
      <c r="AT12" s="45" t="n">
        <f aca="false">COUNTIF(G12:H12,"=x")</f>
        <v>1</v>
      </c>
      <c r="AU12" s="45" t="n">
        <f aca="false">IF(AT12&gt;0,AVERAGE(AQ12:AR12),"")</f>
        <v>0</v>
      </c>
      <c r="AV12" s="45" t="inlineStr">
        <f aca="false">IF(AND(AT12&gt;0,Q12=1),AU12*O12,"")</f>
        <is>
          <t/>
        </is>
      </c>
      <c r="AX12" s="46" t="n">
        <f aca="false">MAX(AL12,AV12)</f>
        <v>0</v>
      </c>
    </row>
    <row r="13" customFormat="false" ht="12.75" hidden="false" customHeight="false" outlineLevel="0" collapsed="false">
      <c r="G13" s="37"/>
      <c r="H13" s="37"/>
      <c r="P13" s="60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47"/>
      <c r="X13" s="57"/>
      <c r="Y13" s="59"/>
      <c r="AA13" s="37"/>
      <c r="AB13" s="2"/>
      <c r="AC13" s="37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7" t="inlineStr">
        <f aca="false">IF(G13="x",AQ$3,"")</f>
        <is>
          <t/>
        </is>
      </c>
      <c r="AR13" s="37" t="inlineStr">
        <f aca="false">IF(H13="x",AR$3,"")</f>
        <is>
          <t/>
        </is>
      </c>
      <c r="AS13" s="37"/>
      <c r="AT13" s="37"/>
      <c r="AU13" s="37" t="inlineStr">
        <f aca="false">IF(AT13&gt;0,AVERAGE(AQ13:AR13),"")</f>
        <is>
          <t/>
        </is>
      </c>
      <c r="AV13" s="2"/>
      <c r="AX13" s="47"/>
    </row>
    <row r="14" customFormat="false" ht="12.75" hidden="false" customHeight="false" outlineLevel="0" collapsed="false">
      <c r="G14" s="37"/>
      <c r="H14" s="37"/>
      <c r="P14" s="60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47"/>
      <c r="X14" s="57"/>
      <c r="Y14" s="59"/>
      <c r="AA14" s="37"/>
      <c r="AB14" s="2"/>
      <c r="AC14" s="37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7" t="inlineStr">
        <f aca="false">IF(G14="x",AQ$3,"")</f>
        <is>
          <t/>
        </is>
      </c>
      <c r="AR14" s="37" t="inlineStr">
        <f aca="false">IF(H14="x",AR$3,"")</f>
        <is>
          <t/>
        </is>
      </c>
      <c r="AS14" s="37"/>
      <c r="AT14" s="37"/>
      <c r="AU14" s="37" t="inlineStr">
        <f aca="false">IF(AT14&gt;0,AVERAGE(AQ14:AR14),"")</f>
        <is>
          <t/>
        </is>
      </c>
      <c r="AV14" s="2"/>
      <c r="AX14" s="47"/>
    </row>
    <row r="15" customFormat="false" ht="12.75" hidden="false" customHeight="false" outlineLevel="0" collapsed="false">
      <c r="B15" s="25" t="s">
        <v>42</v>
      </c>
      <c r="C15" s="38" t="s">
        <v>69</v>
      </c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P15" s="121"/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AX15</f>
        <v>0</v>
      </c>
      <c r="V15" s="47"/>
      <c r="W15" s="46" t="str">
        <f aca="false">IF(Q15=1,U15-ByStudent!U15,"")</f>
        <v/>
      </c>
      <c r="X15" s="47"/>
      <c r="Y15" s="53"/>
      <c r="AA15" s="2"/>
      <c r="AB15" s="45" t="n">
        <f aca="false">Q15*R15*O15</f>
        <v>0</v>
      </c>
      <c r="AC15" s="2"/>
      <c r="AE15" s="45" t="n">
        <f aca="false">IF(J15="x",AE$3,"")</f>
        <v>0</v>
      </c>
      <c r="AF15" s="45" t="inlineStr">
        <f aca="false">IF(K15="x",AF$3,"")</f>
        <is>
          <t/>
        </is>
      </c>
      <c r="AG15" s="45" t="inlineStr">
        <f aca="false">IF(L15="x",AG$3,"")</f>
        <is>
          <t/>
        </is>
      </c>
      <c r="AH15" s="45" t="inlineStr">
        <f aca="false">IF(M15="x",AH$3,"")</f>
        <is>
          <t/>
        </is>
      </c>
      <c r="AI15" s="2"/>
      <c r="AJ15" s="45" t="n">
        <f aca="false">COUNTIF(J15:M15,"=x")</f>
        <v>1</v>
      </c>
      <c r="AK15" s="45" t="n">
        <f aca="false">IF(AJ15&gt;0,AVERAGE(AE15:AH15),"")</f>
        <v>0</v>
      </c>
      <c r="AL15" s="45" t="inlineStr">
        <f aca="false">IF(AND(AJ15&gt;0,Q15=1),AK15*O15,"")</f>
        <is>
          <t/>
        </is>
      </c>
      <c r="AQ15" s="45" t="n">
        <f aca="false">IF(G15="x",AQ$3,"")</f>
        <v>0</v>
      </c>
      <c r="AR15" s="45" t="inlineStr">
        <f aca="false">IF(H15="x",AR$3,"")</f>
        <is>
          <t/>
        </is>
      </c>
      <c r="AS15" s="37"/>
      <c r="AT15" s="45" t="n">
        <f aca="false">COUNTIF(G15:H15,"=x")</f>
        <v>1</v>
      </c>
      <c r="AU15" s="45" t="n">
        <f aca="false">IF(AT15&gt;0,AVERAGE(AQ15:AR15),"")</f>
        <v>0</v>
      </c>
      <c r="AV15" s="45" t="str">
        <f aca="false">IF(AND(AT15&gt;0,Q15=1),AU15*O15,"")</f>
        <v/>
      </c>
      <c r="AX15" s="46" t="n">
        <f aca="false">MAX(AL15,AV15)</f>
        <v>0</v>
      </c>
    </row>
    <row r="16" customFormat="false" ht="12.75" hidden="false" customHeight="false" outlineLevel="0" collapsed="false">
      <c r="B16" s="25"/>
      <c r="C16" s="51" t="s">
        <v>70</v>
      </c>
      <c r="D16" s="41"/>
      <c r="E16" s="52"/>
      <c r="F16" s="41"/>
      <c r="G16" s="42" t="s">
        <v>38</v>
      </c>
      <c r="H16" s="42"/>
      <c r="J16" s="43" t="s">
        <v>38</v>
      </c>
      <c r="K16" s="43"/>
      <c r="L16" s="43"/>
      <c r="M16" s="43"/>
      <c r="N16" s="44"/>
      <c r="O16" s="42" t="n">
        <v>4</v>
      </c>
      <c r="P16" s="121"/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AX16</f>
        <v>0</v>
      </c>
      <c r="V16" s="47"/>
      <c r="W16" s="46" t="inlineStr">
        <f aca="false">IF(Q16=1,U16-ByStudent!U16,"")</f>
        <is>
          <t/>
        </is>
      </c>
      <c r="X16" s="47"/>
      <c r="Y16" s="53"/>
      <c r="AA16" s="2"/>
      <c r="AB16" s="45" t="n">
        <f aca="false">Q16*R16*O16</f>
        <v>0</v>
      </c>
      <c r="AC16" s="2"/>
      <c r="AE16" s="45" t="n">
        <f aca="false">IF(J16="x",AE$3,"")</f>
        <v>0</v>
      </c>
      <c r="AF16" s="45" t="inlineStr">
        <f aca="false">IF(K16="x",AF$3,"")</f>
        <is>
          <t/>
        </is>
      </c>
      <c r="AG16" s="45" t="inlineStr">
        <f aca="false">IF(L16="x",AG$3,"")</f>
        <is>
          <t/>
        </is>
      </c>
      <c r="AH16" s="45" t="inlineStr">
        <f aca="false">IF(M16="x",AH$3,"")</f>
        <is>
          <t/>
        </is>
      </c>
      <c r="AI16" s="2"/>
      <c r="AJ16" s="45" t="n">
        <f aca="false">COUNTIF(J16:M16,"=x")</f>
        <v>1</v>
      </c>
      <c r="AK16" s="45" t="n">
        <f aca="false">IF(AJ16&gt;0,AVERAGE(AE16:AH16),"")</f>
        <v>0</v>
      </c>
      <c r="AL16" s="45" t="inlineStr">
        <f aca="false">IF(AND(AJ16&gt;0,Q16=1),AK16*O16,"")</f>
        <is>
          <t/>
        </is>
      </c>
      <c r="AQ16" s="45" t="n">
        <f aca="false">IF(G16="x",AQ$3,"")</f>
        <v>0</v>
      </c>
      <c r="AR16" s="45" t="inlineStr">
        <f aca="false">IF(H16="x",AR$3,"")</f>
        <is>
          <t/>
        </is>
      </c>
      <c r="AS16" s="37"/>
      <c r="AT16" s="45" t="n">
        <f aca="false">COUNTIF(G16:H16,"=x")</f>
        <v>1</v>
      </c>
      <c r="AU16" s="45" t="n">
        <f aca="false">IF(AT16&gt;0,AVERAGE(AQ16:AR16),"")</f>
        <v>0</v>
      </c>
      <c r="AV16" s="45" t="inlineStr">
        <f aca="false">IF(AND(AT16&gt;0,Q16=1),AU16*O16,"")</f>
        <is>
          <t/>
        </is>
      </c>
      <c r="AX16" s="46" t="n">
        <f aca="false">MAX(AL16,AV16)</f>
        <v>0</v>
      </c>
    </row>
    <row r="17" customFormat="false" ht="12.75" hidden="false" customHeight="false" outlineLevel="0" collapsed="false">
      <c r="B17" s="25"/>
      <c r="C17" s="51" t="s">
        <v>71</v>
      </c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P17" s="121"/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AX17</f>
        <v>0</v>
      </c>
      <c r="V17" s="47"/>
      <c r="W17" s="46" t="inlineStr">
        <f aca="false">IF(Q17=1,U17-ByStudent!U17,"")</f>
        <is>
          <t/>
        </is>
      </c>
      <c r="X17" s="47"/>
      <c r="Y17" s="53"/>
      <c r="AA17" s="2"/>
      <c r="AB17" s="45" t="n">
        <f aca="false">Q17*R17*O17</f>
        <v>0</v>
      </c>
      <c r="AC17" s="2"/>
      <c r="AE17" s="45" t="n">
        <f aca="false">IF(J17="x",AE$3,"")</f>
        <v>0</v>
      </c>
      <c r="AF17" s="45" t="inlineStr">
        <f aca="false">IF(K17="x",AF$3,"")</f>
        <is>
          <t/>
        </is>
      </c>
      <c r="AG17" s="45" t="inlineStr">
        <f aca="false">IF(L17="x",AG$3,"")</f>
        <is>
          <t/>
        </is>
      </c>
      <c r="AH17" s="45" t="inlineStr">
        <f aca="false">IF(M17="x",AH$3,"")</f>
        <is>
          <t/>
        </is>
      </c>
      <c r="AI17" s="2"/>
      <c r="AJ17" s="45" t="n">
        <f aca="false">COUNTIF(J17:M17,"=x")</f>
        <v>1</v>
      </c>
      <c r="AK17" s="45" t="n">
        <f aca="false">IF(AJ17&gt;0,AVERAGE(AE17:AH17),"")</f>
        <v>0</v>
      </c>
      <c r="AL17" s="45" t="inlineStr">
        <f aca="false">IF(AND(AJ17&gt;0,Q17=1),AK17*O17,"")</f>
        <is>
          <t/>
        </is>
      </c>
      <c r="AQ17" s="45" t="n">
        <f aca="false">IF(G17="x",AQ$3,"")</f>
        <v>0</v>
      </c>
      <c r="AR17" s="45" t="inlineStr">
        <f aca="false">IF(H17="x",AR$3,"")</f>
        <is>
          <t/>
        </is>
      </c>
      <c r="AS17" s="37"/>
      <c r="AT17" s="45" t="n">
        <f aca="false">COUNTIF(G17:H17,"=x")</f>
        <v>1</v>
      </c>
      <c r="AU17" s="45" t="n">
        <f aca="false">IF(AT17&gt;0,AVERAGE(AQ17:AR17),"")</f>
        <v>0</v>
      </c>
      <c r="AV17" s="45" t="inlineStr">
        <f aca="false">IF(AND(AT17&gt;0,Q17=1),AU17*O17,"")</f>
        <is>
          <t/>
        </is>
      </c>
      <c r="AX17" s="46" t="n">
        <f aca="false">MAX(AL17,AV17)</f>
        <v>0</v>
      </c>
    </row>
    <row r="18" customFormat="false" ht="12.75" hidden="false" customHeight="false" outlineLevel="0" collapsed="false">
      <c r="B18" s="25"/>
      <c r="C18" s="54" t="s">
        <v>72</v>
      </c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P18" s="121"/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AX18</f>
        <v>0</v>
      </c>
      <c r="V18" s="47"/>
      <c r="W18" s="46" t="inlineStr">
        <f aca="false">IF(Q18=1,U18-ByStudent!U18,"")</f>
        <is>
          <t/>
        </is>
      </c>
      <c r="X18" s="47"/>
      <c r="Y18" s="53"/>
      <c r="AA18" s="2"/>
      <c r="AB18" s="45" t="n">
        <f aca="false">Q18*R18*O18</f>
        <v>0</v>
      </c>
      <c r="AC18" s="2"/>
      <c r="AE18" s="45" t="n">
        <f aca="false">IF(J18="x",AE$3,"")</f>
        <v>0</v>
      </c>
      <c r="AF18" s="45" t="inlineStr">
        <f aca="false">IF(K18="x",AF$3,"")</f>
        <is>
          <t/>
        </is>
      </c>
      <c r="AG18" s="45" t="inlineStr">
        <f aca="false">IF(L18="x",AG$3,"")</f>
        <is>
          <t/>
        </is>
      </c>
      <c r="AH18" s="45" t="inlineStr">
        <f aca="false">IF(M18="x",AH$3,"")</f>
        <is>
          <t/>
        </is>
      </c>
      <c r="AI18" s="2"/>
      <c r="AJ18" s="45" t="n">
        <f aca="false">COUNTIF(J18:M18,"=x")</f>
        <v>1</v>
      </c>
      <c r="AK18" s="45" t="n">
        <f aca="false">IF(AJ18&gt;0,AVERAGE(AE18:AH18),"")</f>
        <v>0</v>
      </c>
      <c r="AL18" s="45" t="inlineStr">
        <f aca="false">IF(AND(AJ18&gt;0,Q18=1),AK18*O18,"")</f>
        <is>
          <t/>
        </is>
      </c>
      <c r="AQ18" s="45" t="n">
        <f aca="false">IF(G18="x",AQ$3,"")</f>
        <v>0</v>
      </c>
      <c r="AR18" s="45" t="inlineStr">
        <f aca="false">IF(H18="x",AR$3,"")</f>
        <is>
          <t/>
        </is>
      </c>
      <c r="AS18" s="37"/>
      <c r="AT18" s="45" t="n">
        <f aca="false">COUNTIF(G18:H18,"=x")</f>
        <v>1</v>
      </c>
      <c r="AU18" s="45" t="n">
        <f aca="false">IF(AT18&gt;0,AVERAGE(AQ18:AR18),"")</f>
        <v>0</v>
      </c>
      <c r="AV18" s="45" t="inlineStr">
        <f aca="false">IF(AND(AT18&gt;0,Q18=1),AU18*O18,"")</f>
        <is>
          <t/>
        </is>
      </c>
      <c r="AX18" s="46" t="n">
        <f aca="false">MAX(AL18,AV18)</f>
        <v>0</v>
      </c>
    </row>
    <row r="19" customFormat="false" ht="12.75" hidden="false" customHeight="false" outlineLevel="0" collapsed="false">
      <c r="G19" s="37"/>
      <c r="H19" s="37"/>
      <c r="P19" s="60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7"/>
      <c r="X19" s="57"/>
      <c r="Y19" s="59"/>
      <c r="AA19" s="37"/>
      <c r="AB19" s="2"/>
      <c r="AC19" s="37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7" t="inlineStr">
        <f aca="false">IF(G19="x",AQ$3,"")</f>
        <is>
          <t/>
        </is>
      </c>
      <c r="AR19" s="37" t="inlineStr">
        <f aca="false">IF(H19="x",AR$3,"")</f>
        <is>
          <t/>
        </is>
      </c>
      <c r="AS19" s="37"/>
      <c r="AT19" s="37"/>
      <c r="AU19" s="37" t="inlineStr">
        <f aca="false">IF(AT19&gt;0,AVERAGE(AQ19:AR19),"")</f>
        <is>
          <t/>
        </is>
      </c>
      <c r="AV19" s="37" t="str">
        <f aca="false">IF(AT19&gt;0,AU19*O19,"")</f>
        <v/>
      </c>
      <c r="AX19" s="47" t="str">
        <f aca="false">IF(AK19&gt;0,AL19,AU19)</f>
        <v/>
      </c>
    </row>
    <row r="20" customFormat="false" ht="12.75" hidden="false" customHeight="false" outlineLevel="0" collapsed="false">
      <c r="G20" s="37"/>
      <c r="H20" s="37"/>
      <c r="P20" s="60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7"/>
      <c r="X20" s="57"/>
      <c r="Y20" s="59"/>
      <c r="AA20" s="37"/>
      <c r="AB20" s="2"/>
      <c r="AC20" s="37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7" t="inlineStr">
        <f aca="false">IF(G20="x",AQ$3,"")</f>
        <is>
          <t/>
        </is>
      </c>
      <c r="AR20" s="37" t="inlineStr">
        <f aca="false">IF(H20="x",AR$3,"")</f>
        <is>
          <t/>
        </is>
      </c>
      <c r="AS20" s="37"/>
      <c r="AT20" s="37"/>
      <c r="AU20" s="37" t="inlineStr">
        <f aca="false">IF(AT20&gt;0,AVERAGE(AQ20:AR20),"")</f>
        <is>
          <t/>
        </is>
      </c>
      <c r="AV20" s="37" t="inlineStr">
        <f aca="false">IF(AT20&gt;0,AU20*O20,"")</f>
        <is>
          <t/>
        </is>
      </c>
      <c r="AX20" s="47" t="inlineStr">
        <f aca="false">IF(AK20&gt;0,AL20,AU20)</f>
        <is>
          <t/>
        </is>
      </c>
    </row>
    <row r="21" customFormat="false" ht="12.75" hidden="false" customHeight="false" outlineLevel="0" collapsed="false">
      <c r="B21" s="25" t="s">
        <v>43</v>
      </c>
      <c r="C21" s="38" t="s">
        <v>71</v>
      </c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P21" s="121"/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AX21</f>
        <is>
          <t/>
        </is>
      </c>
      <c r="V21" s="47"/>
      <c r="W21" s="46" t="str">
        <f aca="false">IF(Q21=1,U21-ByStudent!U21,"")</f>
        <v/>
      </c>
      <c r="X21" s="47"/>
      <c r="Y21" s="53"/>
      <c r="AA21" s="2"/>
      <c r="AB21" s="45" t="n">
        <f aca="false">Q21*R21*O21</f>
        <v>0</v>
      </c>
      <c r="AC21" s="2"/>
      <c r="AE21" s="45" t="n">
        <f aca="false">IF(J21="x",AE$3,"")</f>
        <v>0</v>
      </c>
      <c r="AF21" s="45" t="inlineStr">
        <f aca="false">IF(K21="x",AF$3,"")</f>
        <is>
          <t/>
        </is>
      </c>
      <c r="AG21" s="45" t="inlineStr">
        <f aca="false">IF(L21="x",AG$3,"")</f>
        <is>
          <t/>
        </is>
      </c>
      <c r="AH21" s="45" t="inlineStr">
        <f aca="false">IF(M21="x",AH$3,"")</f>
        <is>
          <t/>
        </is>
      </c>
      <c r="AI21" s="2"/>
      <c r="AJ21" s="45" t="n">
        <f aca="false">COUNTIF(J21:M21,"=x")</f>
        <v>1</v>
      </c>
      <c r="AK21" s="45" t="n">
        <f aca="false">IF(AJ21&gt;0,AVERAGE(AE21:AH21),"")</f>
        <v>0</v>
      </c>
      <c r="AL21" s="45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6" t="str">
        <f aca="false">AL21</f>
        <v/>
      </c>
    </row>
    <row r="22" customFormat="false" ht="12.75" hidden="false" customHeight="false" outlineLevel="0" collapsed="false">
      <c r="B22" s="25"/>
      <c r="C22" s="51" t="s">
        <v>13</v>
      </c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P22" s="121"/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AX22</f>
        <is>
          <t/>
        </is>
      </c>
      <c r="V22" s="47"/>
      <c r="W22" s="46" t="inlineStr">
        <f aca="false">IF(Q22=1,U22-ByStudent!U22,"")</f>
        <is>
          <t/>
        </is>
      </c>
      <c r="X22" s="47"/>
      <c r="Y22" s="53"/>
      <c r="AA22" s="2"/>
      <c r="AB22" s="45" t="n">
        <f aca="false">Q22*R22*O22</f>
        <v>0</v>
      </c>
      <c r="AC22" s="2"/>
      <c r="AE22" s="45" t="n">
        <f aca="false">IF(J22="x",AE$3,"")</f>
        <v>0</v>
      </c>
      <c r="AF22" s="45" t="inlineStr">
        <f aca="false">IF(K22="x",AF$3,"")</f>
        <is>
          <t/>
        </is>
      </c>
      <c r="AG22" s="45" t="inlineStr">
        <f aca="false">IF(L22="x",AG$3,"")</f>
        <is>
          <t/>
        </is>
      </c>
      <c r="AH22" s="45" t="inlineStr">
        <f aca="false">IF(M22="x",AH$3,"")</f>
        <is>
          <t/>
        </is>
      </c>
      <c r="AI22" s="2"/>
      <c r="AJ22" s="45" t="n">
        <f aca="false">COUNTIF(J22:M22,"=x")</f>
        <v>1</v>
      </c>
      <c r="AK22" s="45" t="n">
        <f aca="false">IF(AJ22&gt;0,AVERAGE(AE22:AH22),"")</f>
        <v>0</v>
      </c>
      <c r="AL22" s="45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6" t="inlineStr">
        <f aca="false">AL22</f>
        <is>
          <t/>
        </is>
      </c>
    </row>
    <row r="23" customFormat="false" ht="12.75" hidden="false" customHeight="false" outlineLevel="0" collapsed="false">
      <c r="B23" s="25"/>
      <c r="C23" s="54" t="s">
        <v>73</v>
      </c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P23" s="121"/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AX23</f>
        <is>
          <t/>
        </is>
      </c>
      <c r="V23" s="47"/>
      <c r="W23" s="46" t="inlineStr">
        <f aca="false">IF(Q23=1,U23-ByStudent!U23,"")</f>
        <is>
          <t/>
        </is>
      </c>
      <c r="X23" s="47"/>
      <c r="Y23" s="53"/>
      <c r="AA23" s="2"/>
      <c r="AB23" s="45" t="n">
        <f aca="false">Q23*R23*O23</f>
        <v>0</v>
      </c>
      <c r="AC23" s="2"/>
      <c r="AE23" s="45" t="n">
        <f aca="false">IF(J23="x",AE$3,"")</f>
        <v>0</v>
      </c>
      <c r="AF23" s="45" t="inlineStr">
        <f aca="false">IF(K23="x",AF$3,"")</f>
        <is>
          <t/>
        </is>
      </c>
      <c r="AG23" s="45" t="inlineStr">
        <f aca="false">IF(L23="x",AG$3,"")</f>
        <is>
          <t/>
        </is>
      </c>
      <c r="AH23" s="45" t="inlineStr">
        <f aca="false">IF(M23="x",AH$3,"")</f>
        <is>
          <t/>
        </is>
      </c>
      <c r="AI23" s="2"/>
      <c r="AJ23" s="45" t="n">
        <f aca="false">COUNTIF(J23:M23,"=x")</f>
        <v>1</v>
      </c>
      <c r="AK23" s="45" t="n">
        <f aca="false">IF(AJ23&gt;0,AVERAGE(AE23:AH23),"")</f>
        <v>0</v>
      </c>
      <c r="AL23" s="45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6" t="inlineStr">
        <f aca="false">AL23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44"/>
      <c r="K24" s="44"/>
      <c r="L24" s="44"/>
      <c r="M24" s="44"/>
      <c r="N24" s="44"/>
      <c r="O24" s="68"/>
      <c r="P24" s="24"/>
      <c r="Q24" s="69"/>
      <c r="R24" s="69"/>
      <c r="S24" s="27" t="inlineStr">
        <f aca="false">IF(AND(Q24=1,R24=0),"Bonus","")</f>
        <is>
          <t/>
        </is>
      </c>
      <c r="T24" s="70"/>
      <c r="U24" s="47"/>
      <c r="V24" s="47"/>
      <c r="W24" s="47"/>
      <c r="X24" s="47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7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44"/>
      <c r="K25" s="44"/>
      <c r="L25" s="44"/>
      <c r="M25" s="44"/>
      <c r="N25" s="44"/>
      <c r="O25" s="74"/>
      <c r="P25" s="24"/>
      <c r="Q25" s="1"/>
      <c r="R25" s="1"/>
      <c r="S25" s="27" t="inlineStr">
        <f aca="false">IF(AND(Q25=1,R25=0),"Bonus","")</f>
        <is>
          <t/>
        </is>
      </c>
      <c r="T25" s="70"/>
      <c r="U25" s="47"/>
      <c r="V25" s="47"/>
      <c r="W25" s="47"/>
      <c r="X25" s="47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7"/>
    </row>
    <row r="26" customFormat="false" ht="12.75" hidden="false" customHeight="false" outlineLevel="0" collapsed="false">
      <c r="B26" s="25" t="s">
        <v>44</v>
      </c>
      <c r="C26" s="38" t="s">
        <v>74</v>
      </c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P26" s="121"/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AX26</f>
        <v/>
      </c>
      <c r="V26" s="47"/>
      <c r="W26" s="46" t="str">
        <f aca="false">IF(Q26=1,U26-ByStudent!U26,"")</f>
        <v/>
      </c>
      <c r="X26" s="47"/>
      <c r="Y26" s="53"/>
      <c r="AA26" s="2"/>
      <c r="AB26" s="45" t="n">
        <f aca="false">Q26*R26*O26</f>
        <v>0</v>
      </c>
      <c r="AC26" s="2"/>
      <c r="AE26" s="45" t="n">
        <f aca="false">IF(J26="x",AE$3,"")</f>
        <v>0</v>
      </c>
      <c r="AF26" s="45" t="str">
        <f aca="false">IF(K26="x",AF$3,"")</f>
        <v/>
      </c>
      <c r="AG26" s="45" t="str">
        <f aca="false">IF(L26="x",AG$3,"")</f>
        <v/>
      </c>
      <c r="AH26" s="45" t="str">
        <f aca="false">IF(M26="x",AH$3,"")</f>
        <v/>
      </c>
      <c r="AI26" s="2"/>
      <c r="AJ26" s="45" t="n">
        <f aca="false">COUNTIF(J26:M26,"=x")</f>
        <v>1</v>
      </c>
      <c r="AK26" s="45" t="n">
        <f aca="false">IF(AJ26&gt;0,AVERAGE(AE26:AH26),"")</f>
        <v>0</v>
      </c>
      <c r="AL26" s="45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6" t="str">
        <f aca="false">AL26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 t="s">
        <v>38</v>
      </c>
      <c r="K27" s="43"/>
      <c r="L27" s="62"/>
      <c r="M27" s="43"/>
      <c r="N27" s="44"/>
      <c r="O27" s="42" t="n">
        <v>0</v>
      </c>
      <c r="P27" s="121"/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AX27</f>
        <is>
          <t/>
        </is>
      </c>
      <c r="V27" s="47"/>
      <c r="W27" s="46" t="inlineStr">
        <f aca="false">IF(Q27=1,U27-ByStudent!U27,"")</f>
        <is>
          <t/>
        </is>
      </c>
      <c r="X27" s="47"/>
      <c r="Y27" s="53"/>
      <c r="AA27" s="2"/>
      <c r="AB27" s="45" t="n">
        <f aca="false">Q27*R27*O27</f>
        <v>0</v>
      </c>
      <c r="AC27" s="2"/>
      <c r="AE27" s="45" t="n">
        <f aca="false">IF(J27="x",AE$3,"")</f>
        <v>0</v>
      </c>
      <c r="AF27" s="45" t="inlineStr">
        <f aca="false">IF(K27="x",AF$3,"")</f>
        <is>
          <t/>
        </is>
      </c>
      <c r="AG27" s="45" t="inlineStr">
        <f aca="false">IF(L27="x",AG$3,"")</f>
        <is>
          <t/>
        </is>
      </c>
      <c r="AH27" s="45" t="inlineStr">
        <f aca="false">IF(M27="x",AH$3,"")</f>
        <is>
          <t/>
        </is>
      </c>
      <c r="AI27" s="2"/>
      <c r="AJ27" s="45" t="n">
        <f aca="false">COUNTIF(J27:M27,"=x")</f>
        <v>1</v>
      </c>
      <c r="AK27" s="45" t="n">
        <f aca="false">IF(AJ27&gt;0,AVERAGE(AE27:AH27),"")</f>
        <v>0</v>
      </c>
      <c r="AL27" s="45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6" t="inlineStr">
        <f aca="false">AL27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 t="s">
        <v>38</v>
      </c>
      <c r="K28" s="43"/>
      <c r="L28" s="43"/>
      <c r="M28" s="43"/>
      <c r="N28" s="44"/>
      <c r="O28" s="42" t="n">
        <v>0</v>
      </c>
      <c r="P28" s="121"/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AX28</f>
        <is>
          <t/>
        </is>
      </c>
      <c r="V28" s="47"/>
      <c r="W28" s="46" t="inlineStr">
        <f aca="false">IF(Q28=1,U28-ByStudent!U28,"")</f>
        <is>
          <t/>
        </is>
      </c>
      <c r="X28" s="47"/>
      <c r="Y28" s="53"/>
      <c r="AA28" s="2"/>
      <c r="AB28" s="45" t="n">
        <f aca="false">Q28*R28*O28</f>
        <v>0</v>
      </c>
      <c r="AC28" s="2"/>
      <c r="AE28" s="45" t="n">
        <f aca="false">IF(J28="x",AE$3,"")</f>
        <v>0</v>
      </c>
      <c r="AF28" s="45" t="inlineStr">
        <f aca="false">IF(K28="x",AF$3,"")</f>
        <is>
          <t/>
        </is>
      </c>
      <c r="AG28" s="45" t="inlineStr">
        <f aca="false">IF(L28="x",AG$3,"")</f>
        <is>
          <t/>
        </is>
      </c>
      <c r="AH28" s="45" t="inlineStr">
        <f aca="false">IF(M28="x",AH$3,"")</f>
        <is>
          <t/>
        </is>
      </c>
      <c r="AI28" s="2"/>
      <c r="AJ28" s="45" t="n">
        <f aca="false">COUNTIF(J28:M28,"=x")</f>
        <v>1</v>
      </c>
      <c r="AK28" s="45" t="n">
        <f aca="false">IF(AJ28&gt;0,AVERAGE(AE28:AH28),"")</f>
        <v>0</v>
      </c>
      <c r="AL28" s="45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6" t="inlineStr">
        <f aca="false">AL28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 t="s">
        <v>38</v>
      </c>
      <c r="K29" s="43"/>
      <c r="L29" s="43"/>
      <c r="M29" s="43"/>
      <c r="N29" s="44"/>
      <c r="O29" s="42" t="n">
        <v>0</v>
      </c>
      <c r="P29" s="121"/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AX29</f>
        <is>
          <t/>
        </is>
      </c>
      <c r="V29" s="47"/>
      <c r="W29" s="46" t="inlineStr">
        <f aca="false">IF(Q29=1,U29-ByStudent!U29,"")</f>
        <is>
          <t/>
        </is>
      </c>
      <c r="X29" s="47"/>
      <c r="Y29" s="53"/>
      <c r="AA29" s="2"/>
      <c r="AB29" s="45" t="n">
        <f aca="false">Q29*R29*O29</f>
        <v>0</v>
      </c>
      <c r="AC29" s="2"/>
      <c r="AE29" s="45" t="n">
        <f aca="false">IF(J29="x",AE$3,"")</f>
        <v>0</v>
      </c>
      <c r="AF29" s="45" t="inlineStr">
        <f aca="false">IF(K29="x",AF$3,"")</f>
        <is>
          <t/>
        </is>
      </c>
      <c r="AG29" s="45" t="inlineStr">
        <f aca="false">IF(L29="x",AG$3,"")</f>
        <is>
          <t/>
        </is>
      </c>
      <c r="AH29" s="45" t="inlineStr">
        <f aca="false">IF(M29="x",AH$3,"")</f>
        <is>
          <t/>
        </is>
      </c>
      <c r="AI29" s="2"/>
      <c r="AJ29" s="45" t="n">
        <f aca="false">COUNTIF(J29:M29,"=x")</f>
        <v>1</v>
      </c>
      <c r="AK29" s="45" t="n">
        <f aca="false">IF(AJ29&gt;0,AVERAGE(AE29:AH29),"")</f>
        <v>0</v>
      </c>
      <c r="AL29" s="45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6" t="inlineStr">
        <f aca="false">AL29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 t="s">
        <v>38</v>
      </c>
      <c r="K30" s="43"/>
      <c r="L30" s="43"/>
      <c r="M30" s="43"/>
      <c r="N30" s="44"/>
      <c r="O30" s="42" t="n">
        <v>0</v>
      </c>
      <c r="P30" s="121"/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AX30</f>
        <is>
          <t/>
        </is>
      </c>
      <c r="V30" s="47"/>
      <c r="W30" s="46" t="inlineStr">
        <f aca="false">IF(Q30=1,U30-ByStudent!U30,"")</f>
        <is>
          <t/>
        </is>
      </c>
      <c r="X30" s="47"/>
      <c r="Y30" s="53"/>
      <c r="AA30" s="2"/>
      <c r="AB30" s="45" t="n">
        <f aca="false">Q30*R30*O30</f>
        <v>0</v>
      </c>
      <c r="AC30" s="2"/>
      <c r="AE30" s="45" t="n">
        <f aca="false">IF(J30="x",AE$3,"")</f>
        <v>0</v>
      </c>
      <c r="AF30" s="45" t="inlineStr">
        <f aca="false">IF(K30="x",AF$3,"")</f>
        <is>
          <t/>
        </is>
      </c>
      <c r="AG30" s="45" t="inlineStr">
        <f aca="false">IF(L30="x",AG$3,"")</f>
        <is>
          <t/>
        </is>
      </c>
      <c r="AH30" s="45" t="inlineStr">
        <f aca="false">IF(M30="x",AH$3,"")</f>
        <is>
          <t/>
        </is>
      </c>
      <c r="AI30" s="2"/>
      <c r="AJ30" s="45" t="n">
        <f aca="false">COUNTIF(J30:M30,"=x")</f>
        <v>1</v>
      </c>
      <c r="AK30" s="45" t="n">
        <f aca="false">IF(AJ30&gt;0,AVERAGE(AE30:AH30),"")</f>
        <v>0</v>
      </c>
      <c r="AL30" s="45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6" t="inlineStr">
        <f aca="false">AL30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 t="s">
        <v>38</v>
      </c>
      <c r="K31" s="43"/>
      <c r="L31" s="43"/>
      <c r="M31" s="43"/>
      <c r="N31" s="44"/>
      <c r="O31" s="42" t="n">
        <v>0</v>
      </c>
      <c r="P31" s="121"/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AX31</f>
        <is>
          <t/>
        </is>
      </c>
      <c r="V31" s="47"/>
      <c r="W31" s="46" t="inlineStr">
        <f aca="false">IF(Q31=1,U31-ByStudent!U31,"")</f>
        <is>
          <t/>
        </is>
      </c>
      <c r="X31" s="47"/>
      <c r="Y31" s="53"/>
      <c r="AA31" s="2"/>
      <c r="AB31" s="45" t="n">
        <f aca="false">Q31*R31*O31</f>
        <v>0</v>
      </c>
      <c r="AC31" s="2"/>
      <c r="AD31" s="60"/>
      <c r="AE31" s="45" t="n">
        <f aca="false">IF(J31="x",AE$3,"")</f>
        <v>0</v>
      </c>
      <c r="AF31" s="45" t="inlineStr">
        <f aca="false">IF(K31="x",AF$3,"")</f>
        <is>
          <t/>
        </is>
      </c>
      <c r="AG31" s="45" t="inlineStr">
        <f aca="false">IF(L31="x",AG$3,"")</f>
        <is>
          <t/>
        </is>
      </c>
      <c r="AH31" s="45" t="inlineStr">
        <f aca="false">IF(M31="x",AH$3,"")</f>
        <is>
          <t/>
        </is>
      </c>
      <c r="AI31" s="2"/>
      <c r="AJ31" s="45" t="n">
        <f aca="false">COUNTIF(J31:M31,"=x")</f>
        <v>1</v>
      </c>
      <c r="AK31" s="45" t="n">
        <f aca="false">IF(AJ31&gt;0,AVERAGE(AE31:AH31),"")</f>
        <v>0</v>
      </c>
      <c r="AL31" s="45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6" t="inlineStr">
        <f aca="false">AL31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P32" s="24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AX32</f>
        <is>
          <t/>
        </is>
      </c>
      <c r="W32" s="47"/>
      <c r="Y32" s="78"/>
      <c r="AA32" s="37"/>
      <c r="AB32" s="2"/>
      <c r="AC32" s="37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P33" s="24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AX33</f>
        <is>
          <t/>
        </is>
      </c>
      <c r="W33" s="47"/>
      <c r="Y33" s="78"/>
      <c r="AA33" s="37"/>
      <c r="AB33" s="2"/>
      <c r="AC33" s="37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75" hidden="false" customHeight="false" outlineLevel="0" collapsed="false">
      <c r="B34" s="25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 t="s">
        <v>38</v>
      </c>
      <c r="K34" s="43"/>
      <c r="L34" s="43"/>
      <c r="M34" s="43"/>
      <c r="N34" s="44"/>
      <c r="O34" s="42" t="n">
        <v>3</v>
      </c>
      <c r="P34" s="121"/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AX34</f>
        <v>0</v>
      </c>
      <c r="V34" s="2"/>
      <c r="W34" s="46" t="n">
        <f aca="false">IF(Q34=1,U34-ByStudent!U34,"")</f>
        <v>-4</v>
      </c>
      <c r="X34" s="2"/>
      <c r="Y34" s="79"/>
      <c r="AA34" s="2"/>
      <c r="AB34" s="45" t="n">
        <f aca="false">Q34*R34*O34</f>
        <v>3</v>
      </c>
      <c r="AC34" s="2"/>
      <c r="AE34" s="45" t="n">
        <f aca="false">IF(J34="x",AE$3,"")</f>
        <v>0</v>
      </c>
      <c r="AF34" s="45" t="str">
        <f aca="false">IF(K34="x",AF$3,"")</f>
        <v/>
      </c>
      <c r="AG34" s="45" t="str">
        <f aca="false">IF(L34="x",AG$3,"")</f>
        <v/>
      </c>
      <c r="AH34" s="45" t="str">
        <f aca="false">IF(M34="x",AH$3,"")</f>
        <v/>
      </c>
      <c r="AI34" s="2"/>
      <c r="AJ34" s="45" t="n">
        <f aca="false">COUNTIF(J34:M34,"=x")</f>
        <v>1</v>
      </c>
      <c r="AK34" s="45" t="n">
        <f aca="false">IF(AJ34&gt;0,AVERAGE(AE34:AH34),"")</f>
        <v>0</v>
      </c>
      <c r="AL34" s="45" t="n">
        <f aca="false">IF(AND(AJ34&gt;0,Q34=1),AK34*O34,"")</f>
        <v>0</v>
      </c>
      <c r="AQ34" s="45" t="n">
        <f aca="false">IF(G34="x",AQ$3,"")</f>
        <v>0</v>
      </c>
      <c r="AR34" s="45" t="inlineStr">
        <f aca="false">IF(H34="x",AR$3,"")</f>
        <is>
          <t/>
        </is>
      </c>
      <c r="AS34" s="37"/>
      <c r="AT34" s="45" t="n">
        <f aca="false">COUNTIF(G34:H34,"=x")</f>
        <v>1</v>
      </c>
      <c r="AU34" s="45" t="n">
        <f aca="false">IF(AT34&gt;0,AVERAGE(AQ34:AR34),"")</f>
        <v>0</v>
      </c>
      <c r="AV34" s="45" t="n">
        <f aca="false">IF(AND(AT34&gt;0,Q34=1),AU34*O34,"")</f>
        <v>0</v>
      </c>
      <c r="AX34" s="45" t="n">
        <f aca="false">MAX(AL34,AV34)</f>
        <v>0</v>
      </c>
    </row>
    <row r="35" customFormat="false" ht="12.75" hidden="false" customHeight="false" outlineLevel="0" collapsed="false">
      <c r="B35" s="25"/>
      <c r="C35" s="54" t="s">
        <v>47</v>
      </c>
      <c r="D35" s="55"/>
      <c r="E35" s="56"/>
      <c r="F35" s="34"/>
      <c r="G35" s="24"/>
      <c r="H35" s="24"/>
      <c r="I35" s="37"/>
      <c r="J35" s="33" t="s">
        <v>38</v>
      </c>
      <c r="K35" s="80"/>
      <c r="L35" s="80"/>
      <c r="M35" s="33"/>
      <c r="O35" s="42" t="n">
        <v>1</v>
      </c>
      <c r="P35" s="121"/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AX35</f>
        <v>0</v>
      </c>
      <c r="W35" s="46" t="n">
        <f aca="false">IF(Q35=1,U35-ByStudent!U35,"")</f>
        <v>-3</v>
      </c>
      <c r="Y35" s="79"/>
      <c r="AB35" s="45" t="n">
        <f aca="false">Q35*R35*O35</f>
        <v>0</v>
      </c>
      <c r="AE35" s="45" t="n">
        <f aca="false">IF(J35="x",AE$3,"")</f>
        <v>0</v>
      </c>
      <c r="AF35" s="45" t="inlineStr">
        <f aca="false">IF(K35="x",AF$3,"")</f>
        <is>
          <t/>
        </is>
      </c>
      <c r="AG35" s="45" t="inlineStr">
        <f aca="false">IF(L35="x",AG$3,"")</f>
        <is>
          <t/>
        </is>
      </c>
      <c r="AH35" s="45" t="inlineStr">
        <f aca="false">IF(M35="x",AH$3,"")</f>
        <is>
          <t/>
        </is>
      </c>
      <c r="AJ35" s="45" t="n">
        <f aca="false">COUNTIF(J35:M35,"=x")</f>
        <v>1</v>
      </c>
      <c r="AK35" s="45" t="n">
        <f aca="false">IF(AJ35&gt;0,AVERAGE(AE35:AH35),"")</f>
        <v>0</v>
      </c>
      <c r="AL35" s="45" t="n">
        <f aca="false">IF(AND(AJ35&gt;0,Q35=1),AK35*O35,"")</f>
        <v>0</v>
      </c>
      <c r="AQ35" s="45" t="inlineStr">
        <f aca="false">IF(G35="x",AQ$3,"")</f>
        <is>
          <t/>
        </is>
      </c>
      <c r="AR35" s="45" t="inlineStr">
        <f aca="false">IF(H35="x",AR$3,"")</f>
        <is>
          <t/>
        </is>
      </c>
      <c r="AT35" s="45" t="n">
        <f aca="false">COUNTIF(G35:H35,"=x")</f>
        <v>0</v>
      </c>
      <c r="AU35" s="45" t="inlineStr">
        <f aca="false">IF(AT35&gt;0,AVERAGE(AQ35:AR35),"")</f>
        <is>
          <t/>
        </is>
      </c>
      <c r="AV35" s="45" t="inlineStr">
        <f aca="false">IF(AND(AT35&gt;0,Q35=1),AU35*O35,"")</f>
        <is>
          <t/>
        </is>
      </c>
      <c r="AX35" s="45" t="n">
        <f aca="false">MAX(AL35,AV35)</f>
        <v>0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2"/>
      <c r="AB36" s="84"/>
      <c r="AC36" s="2"/>
      <c r="AD36" s="60"/>
      <c r="AE36" s="60"/>
      <c r="AF36" s="60"/>
      <c r="AG36" s="60"/>
      <c r="AH36" s="60"/>
      <c r="AI36" s="60"/>
      <c r="AJ36" s="60"/>
      <c r="AK36" s="60"/>
      <c r="AL36" s="82"/>
      <c r="AX36" s="82"/>
    </row>
    <row r="37" customFormat="false" ht="12.75" hidden="true" customHeight="true" outlineLevel="1" collapsed="false">
      <c r="O37" s="85" t="n">
        <f aca="false">SUM(O5:O35)</f>
        <v>60</v>
      </c>
      <c r="P37" s="2"/>
      <c r="Q37" s="37"/>
      <c r="R37" s="37"/>
      <c r="S37" s="37"/>
      <c r="T37" s="37"/>
      <c r="U37" s="37" t="n">
        <f aca="false">AX37</f>
        <v>0</v>
      </c>
      <c r="V37" s="37"/>
      <c r="W37" s="37"/>
      <c r="X37" s="37"/>
      <c r="Y37" s="37"/>
      <c r="AA37" s="85"/>
      <c r="AB37" s="85" t="n">
        <f aca="false">SUM(AA5:AD35)</f>
        <v>13</v>
      </c>
      <c r="AC37" s="85"/>
      <c r="AD37" s="37"/>
      <c r="AE37" s="37"/>
      <c r="AF37" s="37"/>
      <c r="AG37" s="37"/>
      <c r="AH37" s="37"/>
      <c r="AI37" s="37"/>
      <c r="AJ37" s="37"/>
      <c r="AK37" s="37"/>
      <c r="AL37" s="87" t="n">
        <f aca="false">SUM(AL5:AL35)</f>
        <v>0</v>
      </c>
      <c r="AW37" s="88" t="s">
        <v>48</v>
      </c>
      <c r="AX37" s="89" t="n">
        <f aca="false">SUM(AX5:AX35)</f>
        <v>0</v>
      </c>
    </row>
    <row r="38" customFormat="false" ht="12.75" hidden="true" customHeight="false" outlineLevel="1" collapsed="false">
      <c r="O38" s="37"/>
      <c r="P38" s="2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W38" s="90"/>
      <c r="AX38" s="85"/>
    </row>
    <row r="39" customFormat="false" ht="12.75" hidden="true" customHeight="false" outlineLevel="1" collapsed="false">
      <c r="O39" s="37"/>
      <c r="P39" s="2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89" t="n">
        <f aca="false">AL37/AB37</f>
        <v>0</v>
      </c>
      <c r="AW39" s="88" t="s">
        <v>49</v>
      </c>
      <c r="AX39" s="89" t="n">
        <f aca="false">AX37/AB37</f>
        <v>0</v>
      </c>
    </row>
    <row r="40" customFormat="false" ht="12.75" hidden="true" customHeight="false" outlineLevel="1" collapsed="false">
      <c r="P40" s="60"/>
      <c r="AW40" s="90"/>
      <c r="AX40" s="85"/>
    </row>
    <row r="41" customFormat="false" ht="12.75" hidden="true" customHeight="false" outlineLevel="1" collapsed="false">
      <c r="P41" s="60"/>
      <c r="AL41" s="91" t="n">
        <f aca="false">5/3*AL39+1</f>
        <v>1</v>
      </c>
      <c r="AW41" s="88" t="s">
        <v>50</v>
      </c>
      <c r="AX41" s="85" t="n">
        <f aca="false">5/3*AX39+1</f>
        <v>1</v>
      </c>
    </row>
    <row r="42" customFormat="false" ht="12.75" hidden="true" customHeight="false" outlineLevel="1" collapsed="false">
      <c r="P42" s="60"/>
    </row>
    <row r="43" customFormat="false" ht="12.75" hidden="false" customHeight="false" outlineLevel="0" collapsed="false">
      <c r="P43" s="60"/>
    </row>
    <row r="44" customFormat="false" ht="12.75" hidden="false" customHeight="false" outlineLevel="0" collapsed="false">
      <c r="P44" s="60"/>
    </row>
    <row r="45" customFormat="false" ht="12.75" hidden="false" customHeight="false" outlineLevel="0" collapsed="false">
      <c r="B45" s="61" t="s">
        <v>51</v>
      </c>
      <c r="C45" s="38" t="s">
        <v>52</v>
      </c>
      <c r="D45" s="39"/>
      <c r="E45" s="40"/>
      <c r="G45" s="92" t="n">
        <v>0</v>
      </c>
      <c r="H45" s="92"/>
      <c r="I45" s="92"/>
      <c r="J45" s="92"/>
      <c r="K45" s="92"/>
      <c r="L45" s="92"/>
      <c r="M45" s="92"/>
      <c r="U45" s="122" t="s">
        <v>75</v>
      </c>
      <c r="V45" s="122"/>
      <c r="W45" s="123" t="n">
        <f aca="false">ByProf!G45-ByStudent!G44</f>
        <v>0</v>
      </c>
      <c r="Y45" s="124"/>
    </row>
    <row r="46" customFormat="false" ht="12.75" hidden="false" customHeight="false" outlineLevel="0" collapsed="false">
      <c r="B46" s="61"/>
      <c r="C46" s="54" t="s">
        <v>53</v>
      </c>
      <c r="D46" s="55"/>
      <c r="E46" s="56"/>
      <c r="G46" s="92"/>
      <c r="H46" s="92"/>
      <c r="I46" s="92"/>
      <c r="J46" s="92"/>
      <c r="K46" s="92"/>
      <c r="L46" s="92"/>
      <c r="M46" s="92"/>
      <c r="U46" s="122"/>
      <c r="V46" s="122"/>
      <c r="W46" s="123"/>
      <c r="Y46" s="124"/>
      <c r="AM46" s="2"/>
      <c r="AN46" s="2"/>
      <c r="AO46" s="60"/>
      <c r="AP46" s="96"/>
      <c r="AQ46" s="96"/>
      <c r="AR46" s="96"/>
      <c r="AS46" s="96"/>
      <c r="AT46" s="60"/>
      <c r="AU46" s="60"/>
      <c r="AV46" s="60"/>
    </row>
    <row r="47" customFormat="false" ht="12.75" hidden="false" customHeight="false" outlineLevel="0" collapsed="false">
      <c r="D47" s="60"/>
      <c r="G47" s="97" t="s">
        <v>54</v>
      </c>
      <c r="H47" s="97"/>
      <c r="I47" s="97"/>
      <c r="J47" s="97"/>
      <c r="K47" s="97"/>
      <c r="L47" s="97"/>
      <c r="M47" s="97"/>
      <c r="AM47" s="2"/>
      <c r="AN47" s="2"/>
      <c r="AO47" s="60"/>
      <c r="AP47" s="98"/>
      <c r="AQ47" s="96"/>
      <c r="AR47" s="96"/>
      <c r="AS47" s="96"/>
      <c r="AT47" s="60"/>
      <c r="AU47" s="98"/>
      <c r="AV47" s="60"/>
    </row>
    <row r="48" customFormat="false" ht="13.5" hidden="false" customHeight="false" outlineLevel="0" collapsed="false">
      <c r="D48" s="41"/>
      <c r="AM48" s="60"/>
      <c r="AN48" s="60"/>
      <c r="AO48" s="60"/>
      <c r="AP48" s="60"/>
      <c r="AQ48" s="60"/>
      <c r="AR48" s="60"/>
      <c r="AS48" s="60"/>
      <c r="AT48" s="60"/>
      <c r="AU48" s="60"/>
      <c r="AV48" s="60"/>
    </row>
    <row r="49" customFormat="false" ht="24" hidden="false" customHeight="false" outlineLevel="0" collapsed="false">
      <c r="D49" s="99" t="s">
        <v>7</v>
      </c>
      <c r="E49" s="99"/>
      <c r="G49" s="100" t="n">
        <f aca="false">ROUND(AX41+G45,1)</f>
        <v>1</v>
      </c>
      <c r="H49" s="100"/>
      <c r="I49" s="100"/>
      <c r="J49" s="100"/>
      <c r="K49" s="100"/>
      <c r="L49" s="100"/>
      <c r="M49" s="100"/>
      <c r="R49" s="57"/>
      <c r="U49" s="125" t="s">
        <v>63</v>
      </c>
      <c r="V49" s="125"/>
      <c r="W49" s="126" t="n">
        <f aca="false">G49-ByStudent!G48</f>
        <v>-3.8</v>
      </c>
      <c r="X49" s="127"/>
      <c r="Y49" s="127"/>
      <c r="Z49" s="57"/>
      <c r="AA49" s="57"/>
      <c r="AB49" s="57"/>
      <c r="AC49" s="57"/>
      <c r="AM49" s="2"/>
      <c r="AN49" s="2"/>
      <c r="AO49" s="60"/>
      <c r="AP49" s="2"/>
      <c r="AQ49" s="102"/>
      <c r="AR49" s="2"/>
      <c r="AS49" s="2"/>
      <c r="AT49" s="103"/>
      <c r="AU49" s="104"/>
      <c r="AV49" s="60"/>
    </row>
    <row r="50" customFormat="false" ht="12.75" hidden="false" customHeight="false" outlineLevel="0" collapsed="false">
      <c r="F50" s="41"/>
      <c r="G50" s="105" t="s">
        <v>55</v>
      </c>
      <c r="H50" s="105"/>
      <c r="I50" s="105"/>
      <c r="J50" s="105"/>
      <c r="K50" s="105"/>
      <c r="L50" s="105"/>
      <c r="M50" s="105"/>
      <c r="U50" s="128" t="s">
        <v>76</v>
      </c>
      <c r="V50" s="128"/>
      <c r="W50" s="128"/>
      <c r="X50" s="70"/>
      <c r="Y50" s="70"/>
      <c r="AM50" s="2"/>
      <c r="AN50" s="2"/>
      <c r="AO50" s="60"/>
      <c r="AP50" s="2"/>
      <c r="AQ50" s="102"/>
      <c r="AR50" s="2"/>
      <c r="AS50" s="2"/>
      <c r="AT50" s="103"/>
      <c r="AU50" s="104"/>
      <c r="AV50" s="60"/>
    </row>
    <row r="51" customFormat="false" ht="12.75" hidden="false" customHeight="false" outlineLevel="0" collapsed="false">
      <c r="Z51" s="60"/>
      <c r="AM51" s="60"/>
      <c r="AN51" s="60"/>
      <c r="AO51" s="60"/>
      <c r="AP51" s="2"/>
      <c r="AQ51" s="83"/>
      <c r="AR51" s="60"/>
      <c r="AS51" s="2"/>
      <c r="AT51" s="106"/>
      <c r="AU51" s="60"/>
      <c r="AV51" s="60"/>
    </row>
    <row r="52" customFormat="false" ht="23.25" hidden="false" customHeight="false" outlineLevel="0" collapsed="false">
      <c r="W52" s="129" t="s">
        <v>56</v>
      </c>
      <c r="X52" s="130"/>
      <c r="Y52" s="131"/>
      <c r="Z52" s="132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1"/>
      <c r="AP52" s="2"/>
      <c r="AQ52" s="102"/>
      <c r="AR52" s="2"/>
      <c r="AS52" s="2"/>
      <c r="AT52" s="103"/>
      <c r="AU52" s="104"/>
      <c r="AV52" s="60"/>
    </row>
    <row r="53" customFormat="false" ht="12.75" hidden="false" customHeight="true" outlineLevel="0" collapsed="false">
      <c r="Z53" s="60"/>
      <c r="AP53" s="2"/>
      <c r="AQ53" s="102"/>
      <c r="AR53" s="2"/>
      <c r="AS53" s="2"/>
      <c r="AT53" s="103"/>
      <c r="AU53" s="104"/>
      <c r="AV53" s="60"/>
    </row>
    <row r="54" customFormat="false" ht="13.5" hidden="false" customHeight="true" outlineLevel="0" collapsed="false">
      <c r="W54" s="108" t="s">
        <v>57</v>
      </c>
      <c r="X54" s="109"/>
      <c r="Y54" s="133" t="str">
        <f aca="false">ByStudent!AB54</f>
        <v>Debrot – Sommer</v>
      </c>
      <c r="Z54" s="60"/>
      <c r="AA54" s="110"/>
      <c r="AB54" s="134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6"/>
      <c r="AP54" s="2"/>
      <c r="AQ54" s="102"/>
      <c r="AR54" s="2"/>
      <c r="AS54" s="2"/>
      <c r="AT54" s="103"/>
      <c r="AU54" s="104"/>
      <c r="AV54" s="60"/>
    </row>
    <row r="55" customFormat="false" ht="12.75" hidden="false" customHeight="false" outlineLevel="0" collapsed="false">
      <c r="W55" s="112" t="s">
        <v>59</v>
      </c>
      <c r="X55" s="113"/>
      <c r="Y55" s="137" t="str">
        <f aca="false">ByStudent!AB55</f>
        <v>Aurélie – Nicolas</v>
      </c>
      <c r="Z55" s="60"/>
      <c r="AA55" s="114"/>
      <c r="AB55" s="138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40"/>
      <c r="AP55" s="2"/>
      <c r="AQ55" s="102"/>
      <c r="AR55" s="2"/>
      <c r="AS55" s="2"/>
      <c r="AT55" s="103"/>
      <c r="AU55" s="104"/>
      <c r="AV55" s="60"/>
    </row>
    <row r="56" customFormat="false" ht="12.75" hidden="false" customHeight="false" outlineLevel="0" collapsed="false">
      <c r="Y56" s="37"/>
      <c r="Z56" s="60"/>
      <c r="AB56" s="60"/>
      <c r="AP56" s="2"/>
      <c r="AQ56" s="83"/>
      <c r="AR56" s="60"/>
      <c r="AS56" s="2"/>
      <c r="AT56" s="106"/>
      <c r="AU56" s="60"/>
      <c r="AV56" s="60"/>
    </row>
    <row r="57" customFormat="false" ht="12.75" hidden="false" customHeight="false" outlineLevel="0" collapsed="false">
      <c r="W57" s="116" t="s">
        <v>61</v>
      </c>
      <c r="X57" s="117"/>
      <c r="Y57" s="141" t="str">
        <f aca="false">ByStudent!AB57</f>
        <v>arc2 – arc16</v>
      </c>
      <c r="Z57" s="60"/>
      <c r="AA57" s="118"/>
      <c r="AB57" s="142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4"/>
      <c r="AP57" s="2"/>
      <c r="AQ57" s="102"/>
      <c r="AR57" s="2"/>
      <c r="AS57" s="2"/>
      <c r="AT57" s="103"/>
      <c r="AU57" s="104"/>
      <c r="AV57" s="6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Q3:AR3">
    <cfRule type="cellIs" priority="2" operator="equal" aboveAverage="0" equalAverage="0" bottom="0" percent="0" rank="0" text="" dxfId="1">
      <formula>1</formula>
    </cfRule>
  </conditionalFormatting>
  <conditionalFormatting sqref="W49:Y49">
    <cfRule type="cellIs" priority="3" operator="lessThan" aboveAverage="0" equalAverage="0" bottom="0" percent="0" rank="0" text="" dxfId="3">
      <formula>0</formula>
    </cfRule>
  </conditionalFormatting>
  <conditionalFormatting sqref="W5:W35">
    <cfRule type="cellIs" priority="4" operator="lessThan" aboveAverage="0" equalAverage="0" bottom="0" percent="0" rank="0" text="" dxfId="4">
      <formula>0</formula>
    </cfRule>
  </conditionalFormatting>
  <conditionalFormatting sqref="W45:W46">
    <cfRule type="cellIs" priority="5" operator="lessThan" aboveAverage="0" equalAverage="0" bottom="0" percent="0" rank="0" text="" dxfId="5">
      <formula>0</formula>
    </cfRule>
  </conditionalFormatting>
  <conditionalFormatting sqref="W5:W7">
    <cfRule type="cellIs" priority="6" operator="greaterThan" aboveAverage="0" equalAverage="0" bottom="0" percent="0" rank="0" text="" dxfId="6">
      <formula>0</formula>
    </cfRule>
  </conditionalFormatting>
  <conditionalFormatting sqref="W10">
    <cfRule type="cellIs" priority="7" operator="greaterThan" aboveAverage="0" equalAverage="0" bottom="0" percent="0" rank="0" text="" dxfId="7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1">
      <formula>0</formula>
    </cfRule>
  </conditionalFormatting>
  <conditionalFormatting sqref="W15">
    <cfRule type="cellIs" priority="10" operator="greaterThan" aboveAverage="0" equalAverage="0" bottom="0" percent="0" rank="0" text="" dxfId="2">
      <formula>0</formula>
    </cfRule>
  </conditionalFormatting>
  <conditionalFormatting sqref="W16">
    <cfRule type="cellIs" priority="11" operator="greaterThan" aboveAverage="0" equalAverage="0" bottom="0" percent="0" rank="0" text="" dxfId="3">
      <formula>0</formula>
    </cfRule>
  </conditionalFormatting>
  <conditionalFormatting sqref="W17">
    <cfRule type="cellIs" priority="12" operator="greaterThan" aboveAverage="0" equalAverage="0" bottom="0" percent="0" rank="0" text="" dxfId="4">
      <formula>0</formula>
    </cfRule>
  </conditionalFormatting>
  <conditionalFormatting sqref="W18">
    <cfRule type="cellIs" priority="13" operator="greaterThan" aboveAverage="0" equalAverage="0" bottom="0" percent="0" rank="0" text="" dxfId="5">
      <formula>0</formula>
    </cfRule>
  </conditionalFormatting>
  <conditionalFormatting sqref="W21">
    <cfRule type="cellIs" priority="14" operator="greaterThan" aboveAverage="0" equalAverage="0" bottom="0" percent="0" rank="0" text="" dxfId="6">
      <formula>0</formula>
    </cfRule>
  </conditionalFormatting>
  <conditionalFormatting sqref="W22">
    <cfRule type="cellIs" priority="15" operator="greaterThan" aboveAverage="0" equalAverage="0" bottom="0" percent="0" rank="0" text="" dxfId="7">
      <formula>0</formula>
    </cfRule>
  </conditionalFormatting>
  <conditionalFormatting sqref="W23">
    <cfRule type="cellIs" priority="16" operator="greaterThan" aboveAverage="0" equalAverage="0" bottom="0" percent="0" rank="0" text="" dxfId="8">
      <formula>0</formula>
    </cfRule>
  </conditionalFormatting>
  <conditionalFormatting sqref="W26">
    <cfRule type="cellIs" priority="17" operator="greaterThan" aboveAverage="0" equalAverage="0" bottom="0" percent="0" rank="0" text="" dxfId="9">
      <formula>0</formula>
    </cfRule>
  </conditionalFormatting>
  <conditionalFormatting sqref="W27">
    <cfRule type="cellIs" priority="18" operator="greaterThan" aboveAverage="0" equalAverage="0" bottom="0" percent="0" rank="0" text="" dxfId="10">
      <formula>0</formula>
    </cfRule>
  </conditionalFormatting>
  <conditionalFormatting sqref="W28">
    <cfRule type="cellIs" priority="19" operator="greaterThan" aboveAverage="0" equalAverage="0" bottom="0" percent="0" rank="0" text="" dxfId="11">
      <formula>0</formula>
    </cfRule>
  </conditionalFormatting>
  <conditionalFormatting sqref="W29">
    <cfRule type="cellIs" priority="20" operator="greaterThan" aboveAverage="0" equalAverage="0" bottom="0" percent="0" rank="0" text="" dxfId="12">
      <formula>0</formula>
    </cfRule>
  </conditionalFormatting>
  <conditionalFormatting sqref="W30">
    <cfRule type="cellIs" priority="21" operator="greaterThan" aboveAverage="0" equalAverage="0" bottom="0" percent="0" rank="0" text="" dxfId="13">
      <formula>0</formula>
    </cfRule>
  </conditionalFormatting>
  <conditionalFormatting sqref="W31">
    <cfRule type="cellIs" priority="22" operator="greaterThan" aboveAverage="0" equalAverage="0" bottom="0" percent="0" rank="0" text="" dxfId="14">
      <formula>0</formula>
    </cfRule>
  </conditionalFormatting>
  <conditionalFormatting sqref="W34">
    <cfRule type="cellIs" priority="23" operator="greaterThan" aboveAverage="0" equalAverage="0" bottom="0" percent="0" rank="0" text="" dxfId="15">
      <formula>0</formula>
    </cfRule>
  </conditionalFormatting>
  <conditionalFormatting sqref="W35">
    <cfRule type="cellIs" priority="24" operator="greaterThan" aboveAverage="0" equalAverage="0" bottom="0" percent="0" rank="0" text="" dxfId="1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2017-03-18T10:40:41Z</dcterms:modified>
  <cp:revision>0</cp:revision>
</cp:coreProperties>
</file>